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tables/table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tables/table4.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documenttasks/documenttask4.xml" ContentType="application/vnd.ms-excel.documenttask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https://nvidia-my.sharepoint.com/personal/hraghavan_nvidia_com/Documents/Kumo team presentations/"/>
    </mc:Choice>
  </mc:AlternateContent>
  <xr:revisionPtr revIDLastSave="6174" documentId="11_F5AF4347C0DD228076807732A5B2F076B9EFA100" xr6:coauthVersionLast="47" xr6:coauthVersionMax="47" xr10:uidLastSave="{0824B255-3F3E-3D4E-B642-C006BFEC32E7}"/>
  <bookViews>
    <workbookView xWindow="0" yWindow="660" windowWidth="30240" windowHeight="17920" activeTab="3" xr2:uid="{00000000-000D-0000-FFFF-FFFF00000000}"/>
  </bookViews>
  <sheets>
    <sheet name="LAUNCH MATRIX (NEW)" sheetId="13" r:id="rId1"/>
    <sheet name="Launch until 2026 EOY" sheetId="20" r:id="rId2"/>
    <sheet name="Tickets for GTC" sheetId="12" r:id="rId3"/>
    <sheet name="Links to Core Assets" sheetId="17" r:id="rId4"/>
    <sheet name="High Level Roadmap" sheetId="18" r:id="rId5"/>
    <sheet name="Kumo 3 Pip Sprint" sheetId="14" r:id="rId6"/>
    <sheet name="RFM &amp; NIM Launch Tracker" sheetId="7" r:id="rId7"/>
    <sheet name="Relational Model Launches" sheetId="3" r:id="rId8"/>
    <sheet name="Tabular Model Launches" sheetId="2" r:id="rId9"/>
    <sheet name="Enablement assets Tracker" sheetId="19" r:id="rId10"/>
    <sheet name="PM Initiatives Tracker" sheetId="8" r:id="rId11"/>
    <sheet name="(OLD) KumoV3 launch" sheetId="5" state="hidden" r:id="rId12"/>
    <sheet name="(OLD) High Level Tracker" sheetId="9" state="hidden" r:id="rId13"/>
    <sheet name="OLD - NIM Containerization" sheetId="1" state="hidden" r:id="rId14"/>
    <sheet name="OLD - July 2nd Deliverables" sheetId="4" state="hidden" r:id="rId15"/>
    <sheet name="LAUNCH MATRIX (OLD)" sheetId="11" state="hidden" r:id="rId16"/>
    <sheet name="Tickets (old)" sheetId="15" state="hidden" r:id="rId17"/>
  </sheets>
  <definedNames>
    <definedName name="_xlnm._FilterDatabase" localSheetId="0" hidden="1">'LAUNCH MATRIX (NEW)'!$C$4:$R$78</definedName>
    <definedName name="_xlnm._FilterDatabase" localSheetId="15" hidden="1">'LAUNCH MATRIX (OLD)'!$A$3:$Q$20</definedName>
    <definedName name="_xlnm._FilterDatabase" localSheetId="2" hidden="1">'Tickets for GTC'!$A$23:$A$23</definedName>
    <definedName name="_xlnm.Print_Titles" localSheetId="0">'LAUNCH MATRIX (NEW)'!$3:$4</definedName>
    <definedName name="_xlnm.Print_Titles" localSheetId="15">'LAUNCH MATRIX (OLD)'!$2:$3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13" l="1"/>
  <c r="K82" i="13"/>
  <c r="K72" i="13"/>
  <c r="Q64" i="13"/>
  <c r="G74" i="13"/>
  <c r="C23" i="8"/>
  <c r="K73" i="13" l="1"/>
  <c r="K74"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tc={C2B65306-34D3-8145-B367-CB2A47A8DCAE}</author>
    <author>tc={8FC34ACB-1640-B947-9F4F-52B20AD4C7EB}</author>
    <author>tc={3267CE86-3EAC-4805-8079-7DBA90FF4023}</author>
    <author>tc={509DE799-0642-4301-9589-BD4155F8E9A3}</author>
    <author>tc={A326B18E-D7A5-5B4A-A29D-E14D4E123408}</author>
    <author>tc={51538A9D-0490-47FD-BD14-ADE9AA340325}</author>
    <author>tc={7798C536-4A4D-6F49-B10E-2558B48CBEC9}</author>
    <author>tc={B35BE4A5-37F7-4A40-9DFC-D6BB98CE5322}</author>
    <author>tc={942B598F-9D58-2D46-AC41-DC684569155A}</author>
    <author>tc={CF1B6B93-F56C-DE41-9C08-90E6ABB075DA}</author>
  </authors>
  <commentList>
    <comment ref="G14" authorId="0" shapeId="0" xr:uid="{C2B65306-34D3-8145-B367-CB2A47A8DCA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@Joseph Oliveira I thought the contsainer version was postponed until after the pip install and GTC. Can you update
FYI @Said Aram @Effy Fang
Reply:
    The containers and pip install share the same kumo-core engine. 
Beyond the OSRB/License(s) - there is no other additional work required + we are still targeting EA for NPCI, Santander, Paypal. 
Reply:
    @Joseph Oliveira I am a tad still unclear. 
The container contains way more than just "Kumo core" It contains temporal, the UI, StateDB, queues, Jana's Auth and groups stuff etc etc .. a much larger code base to test
If core is not code complete until Wed 30th (and by the way that scope excludes things like explainability which the UI assumes .. wont the UI be tots broken?
So When is EA go date and is there a seperate OSRB ticket?
Reply:
    @Joseph Oliveira @Effy Fang I split out EA for Kumo 3 Studio container and GA
The GA line is row 47 (or thereabouts) below
If the EA container is not happening we can delete this row
If date is wrong let me know
I dont want to add this to the Oct deliverables as October is already massive and this is not part of GTC scope
 -- its either September or after October (GTC)
FYI @Said Aram @Hema Raghavan
Reply:
    New OSRB ticket: https://nvbugspro.nvidia.com/bug/6619129
Reply:
    OSRB ticket is current blocked by DGPTT ticket: https://jirasw.nvidia.com/browse/DGPTT-5740
Reply:
    Target EA depends on OSRB approval and publishing containers to NGC. 
Given there is no SLA provided here, my best estimate is unhelpful. 
I can provide daily updates instead. 
Reply:
    @Joseph Oliveira can you add this new ticket to the Tickets for GTC tab please. Or confirm that I have added it correctly
</t>
      </text>
    </comment>
    <comment ref="G15" authorId="1" shapeId="0" xr:uid="{8FC34ACB-1640-B947-9F4F-52B20AD4C7E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@Joseph Oliveira I thought the contsainer version was postponed until after the pip install and GTC. Can you update
FYI @Said Aram @Effy Fang
Reply:
    The containers and pip install share the same kumo-core engine. 
Beyond the OSRB/License(s) - there is no other additional work required + we are still targeting EA for NPCI, Santander, Paypal. 
Reply:
    @Joseph Oliveira I am a tad still unclear. 
The container contains way more than just "Kumo core" It contains temporal, the UI, StateDB, queues, Jana's Auth and groups stuff etc etc .. a much larger code base to test
If core is not code complete until Wed 30th (and by the way that scope excludes things like explainability which the UI assumes .. wont the UI be tots broken?
So When is EA go date and is there a seperate OSRB ticket?
Reply:
    @Joseph Oliveira @Effy Fang I split out EA for Kumo 3 Studio container and GA
The GA line is row 47 (or thereabouts) below
If the EA container is not happening we can delete this row
If date is wrong let me know
I dont want to add this to the Oct deliverables as October is already massive and this is not part of GTC scope
 -- its either September or after October (GTC)
FYI @Said Aram @Hema Raghavan
Reply:
    New OSRB ticket: https://nvbugspro.nvidia.com/bug/6619129
Reply:
    OSRB ticket is current blocked by DGPTT ticket: https://jirasw.nvidia.com/browse/DGPTT-5740
Reply:
    Target EA depends on OSRB approval and publishing containers to NGC. 
Given there is no SLA provided here, my best estimate is unhelpful. 
I can provide daily updates instead. </t>
      </text>
    </comment>
    <comment ref="G16" authorId="2" shapeId="0" xr:uid="{3267CE86-3EAC-4805-8079-7DBA90FF402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@Joseph Oliveira I thought the contsainer version was postponed until after the pip install and GTC. Can you update
FYI @Said Aram @Effy Fang
Reply:
    The containers and pip install share the same kumo-core engine. 
Beyond the OSRB/License(s) - there is no other additional work required + we are still targeting EA for NPCI, Santander, Paypal. 
Reply:
    @Joseph Oliveira I am a tad still unclear. 
The container contains way more than just "Kumo core" It contains temporal, the UI, StateDB, queues, Jana's Auth and groups stuff etc etc .. a much larger code base to test
If core is not code complete until Wed 30th (and by the way that scope excludes things like explainability which the UI assumes .. wont the UI be tots broken?
So When is EA go date and is there a seperate OSRB ticket?
Reply:
    @Joseph Oliveira @Effy Fang I split out EA for Kumo 3 Studio container and GA
The GA line is row 47 (or thereabouts) below
If the EA container is not happening we can delete this row
If date is wrong let me know
I dont want to add this to the Oct deliverables as October is already massive and this is not part of GTC scope
 -- its either September or after October (GTC)
FYI @Said Aram @Hema Raghavan
Reply:
    New OSRB ticket: https://nvbugspro.nvidia.com/bug/6619129
Reply:
    OSRB ticket is current blocked by DGPTT ticket: https://jirasw.nvidia.com/browse/DGPTT-5740
Reply:
    Target EA depends on OSRB approval and publishing containers to NGC. 
Given there is no SLA provided here, my best estimate is unhelpful. 
I can provide daily updates instead. </t>
      </text>
    </comment>
    <comment ref="E25" authorId="3" shapeId="0" xr:uid="{509DE799-0642-4301-9589-BD4155F8E9A3}">
      <text>
        <t>[Threaded comment]
Your version of Excel allows you to read this threaded comment; however, any edits to it will get removed if the file is opened in a newer version of Excel. Learn more: https://go.microsoft.com/fwlink/?linkid=870924
Comment:
    see susan's message in #ext-snowflake-nvidia. there's no ETA from sf side</t>
      </text>
    </comment>
    <comment ref="F26" authorId="4" shapeId="0" xr:uid="{A326B18E-D7A5-5B4A-A29D-E14D4E123408}">
      <text>
        <t>[Threaded comment]
Your version of Excel allows you to read this threaded comment; however, any edits to it will get removed if the file is opened in a newer version of Excel. Learn more: https://go.microsoft.com/fwlink/?linkid=870924
Comment:
    New row @Aleksandar Sokolovski (cw) to PIC and update
Reply:
    done</t>
      </text>
    </comment>
    <comment ref="F28" authorId="5" shapeId="0" xr:uid="{51538A9D-0490-47FD-BD14-ADE9AA340325}">
      <text>
        <t>[Threaded comment]
Your version of Excel allows you to read this threaded comment; however, any edits to it will get removed if the file is opened in a newer version of Excel. Learn more: https://go.microsoft.com/fwlink/?linkid=870924
Comment:
    New row @Aleksandar Sokolovski (cw) to PIC and update
Reply:
    done</t>
      </text>
    </comment>
    <comment ref="N44" authorId="6" shapeId="0" xr:uid="{7798C536-4A4D-6F49-B10E-2558B48CBEC9}">
      <text>
        <t xml:space="preserve">[Threaded comment]
Your version of Excel allows you to read this threaded comment; however, any edits to it will get removed if the file is opened in a newer version of Excel. Learn more: https://go.microsoft.com/fwlink/?linkid=870924
Comment:
    @Josh Przybylko and @Matthias Fey pls discuss. </t>
      </text>
    </comment>
    <comment ref="F45" authorId="7" shapeId="0" xr:uid="{B35BE4A5-37F7-4A40-9DFC-D6BB98CE5322}">
      <text>
        <t>[Threaded comment]
Your version of Excel allows you to read this threaded comment; however, any edits to it will get removed if the file is opened in a newer version of Excel. Learn more: https://go.microsoft.com/fwlink/?linkid=870924
Comment:
    New row - @Aleksandar Sokolovski (cw) to update
Reply:
    done</t>
      </text>
    </comment>
    <comment ref="G57" authorId="8" shapeId="0" xr:uid="{942B598F-9D58-2D46-AC41-DC684569155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@Joseph Oliveira I thought the contsainer version was postponed until after the pip install and GTC. Can you update
FYI @Said Aram @Effy Fang
Reply:
    The containers and pip install share the same kumo-core engine. 
Beyond the OSRB/License(s) - there is no other additional work required + we are still targeting EA for NPCI, Santander, Paypal. 
Reply:
    @Joseph Oliveira I am a tad still unclear. 
The container contains way more than just "Kumo core" It contains temporal, the UI, StateDB, queues, Jana's Auth and groups stuff etc etc .. a much larger code base to test
If core is not code complete until Wed 30th (and by the way that scope excludes things like explainability which the UI assumes .. wont the UI be tots broken?
So When is EA go date and is there a seperate OSRB ticket?
</t>
      </text>
    </comment>
    <comment ref="K57" authorId="9" shapeId="0" xr:uid="{CF1B6B93-F56C-DE41-9C08-90E6ABB075DA}">
      <text>
        <t xml:space="preserve">[Threaded comment]
Your version of Excel allows you to read this threaded comment; however, any edits to it will get removed if the file is opened in a newer version of Excel. Learn more: https://go.microsoft.com/fwlink/?linkid=870924
Comment:
    @Joseph Oliveira what dates in December makes sense
This date looks wrong for the GA container including Studio (the UI)
Reply:
    December 8th gives us ~5 weeks, accounting for holidays, from GTC to make any refinements to the UI.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tc={4ED1C68A-9E82-4D70-AFA3-0A2F342F3D29}</author>
  </authors>
  <commentList>
    <comment ref="B18" authorId="0" shapeId="0" xr:uid="{4ED1C68A-9E82-4D70-AFA3-0A2F342F3D29}">
      <text>
        <t xml:space="preserve">[Threaded comment]
Your version of Excel allows you to read this threaded comment; however, any edits to it will get removed if the file is opened in a newer version of Excel. Learn more: https://go.microsoft.com/fwlink/?linkid=870924
Comment:
    Kevin's latest comment on PLR says we need OSRB approval too...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tc={E0AC3CE2-9D5E-4AB2-824F-89A1A462E4E5}</author>
  </authors>
  <commentList>
    <comment ref="B44" authorId="0" shapeId="0" xr:uid="{E0AC3CE2-9D5E-4AB2-824F-89A1A462E4E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@Said Aram and @Josh Przybylkocan we fill rows as much as we know today and all the External Dependency names who are people Josh has met.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tc={E8422CE2-3DD1-4782-A422-D3D50355D70D}</author>
  </authors>
  <commentList>
    <comment ref="A10" authorId="0" shapeId="0" xr:uid="{E8422CE2-3DD1-4782-A422-D3D50355D7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@Zack Drach @Joseph Oliveira
When was OSRB submitted and can you link ticket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tc={816F62ED-6B3E-499E-B7FE-E226E8FBA381}</author>
  </authors>
  <commentList>
    <comment ref="E20" authorId="0" shapeId="0" xr:uid="{816F62ED-6B3E-499E-B7FE-E226E8FBA381}">
      <text>
        <t>[Threaded comment]
Your version of Excel allows you to read this threaded comment; however, any edits to it will get removed if the file is opened in a newer version of Excel. Learn more: https://go.microsoft.com/fwlink/?linkid=870924
Comment:
    21-Aug: Kumo 2 Customers
Reply:
    15-Aug: Internal Nvidia SA's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tc={EE0B682B-C540-4778-9301-9966759B3E19}</author>
  </authors>
  <commentList>
    <comment ref="B30" authorId="0" shapeId="0" xr:uid="{EE0B682B-C540-4778-9301-9966759B3E1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@Said Aram, @Josh Przybylko and @Alex Porter we need to fill these parts out over the next days. 
Reply:
    @Alex Porter and @Matthias Fey you need some work here to make a path for HF models to make their way to NIM and sequence that.</t>
      </text>
    </comment>
  </commentList>
</comments>
</file>

<file path=xl/sharedStrings.xml><?xml version="1.0" encoding="utf-8"?>
<sst xmlns="http://schemas.openxmlformats.org/spreadsheetml/2006/main" count="2187" uniqueCount="1282">
  <si>
    <t xml:space="preserve">    LAUNCH MATRIX</t>
  </si>
  <si>
    <t>CODE FREEZE</t>
  </si>
  <si>
    <t>QA TESTING COMPLETE</t>
  </si>
  <si>
    <t>Release Date (EA or GA)</t>
  </si>
  <si>
    <t>STATUS</t>
  </si>
  <si>
    <t>TICKETS &amp; CUSTOMERS</t>
  </si>
  <si>
    <t>Mile</t>
  </si>
  <si>
    <t>Done</t>
  </si>
  <si>
    <t>Model/Library</t>
  </si>
  <si>
    <t>Version</t>
  </si>
  <si>
    <t>Distributed</t>
  </si>
  <si>
    <t>PIC</t>
  </si>
  <si>
    <t>Planned</t>
  </si>
  <si>
    <t>Actual</t>
  </si>
  <si>
    <t>Status</t>
  </si>
  <si>
    <t>Notes — why it is at risk / what is happening</t>
  </si>
  <si>
    <t>OSRB Ticket</t>
  </si>
  <si>
    <t>NSpect Ticket</t>
  </si>
  <si>
    <t>Other Tickets / Links</t>
  </si>
  <si>
    <t>EA Customers</t>
  </si>
  <si>
    <r>
      <t xml:space="preserve">August EA - for RFM NIM </t>
    </r>
    <r>
      <rPr>
        <b/>
        <sz val="16"/>
        <color theme="7"/>
        <rFont val="Arial (Body)"/>
      </rPr>
      <t>(COMPLETE)</t>
    </r>
  </si>
  <si>
    <t>Kumo Relational (RFM v2.0) - EA Release (Alex Porter)</t>
  </si>
  <si>
    <t>RFM Weights</t>
  </si>
  <si>
    <t>V2</t>
  </si>
  <si>
    <t xml:space="preserve">Weights: 
- inside NIM only
</t>
  </si>
  <si>
    <t>Won't do HF (per PM)</t>
  </si>
  <si>
    <t>N/A</t>
  </si>
  <si>
    <t>N/A (released with container)</t>
  </si>
  <si>
    <t>combined with NIM, since weights are only released inside nim</t>
  </si>
  <si>
    <t>https://nspect.nvidia.com/registration/programs/22195/versions/73960</t>
  </si>
  <si>
    <t>RFM NIM</t>
  </si>
  <si>
    <t>NIM
- NGC
- Build Playground</t>
  </si>
  <si>
    <t>Alex</t>
  </si>
  <si>
    <t>Complete</t>
  </si>
  <si>
    <t>Alex to send Oracle instructions today</t>
  </si>
  <si>
    <t>https://nvbugspro.nvidia.com/bug/6457167</t>
  </si>
  <si>
    <t>https://nspect.nvidia.com/review?id=NSPECT-B1D1-PT0E</t>
  </si>
  <si>
    <t>4 more — SDK/notebook OSRB nvbug 6470036, container NSPECT-ZP0R-U13D, AI card 3129, compliance tracker. See Tickets tab.</t>
  </si>
  <si>
    <t>Foundation Model Client</t>
  </si>
  <si>
    <t>Client for Foundation Models</t>
  </si>
  <si>
    <t>V1
(pql support for RFM v2.x only)</t>
  </si>
  <si>
    <t>- GitHub
- PyPI</t>
  </si>
  <si>
    <t>Manush</t>
  </si>
  <si>
    <t xml:space="preserve"> </t>
  </si>
  <si>
    <t>NA</t>
  </si>
  <si>
    <t>Kumo Relational Client is public
All three packages are now on PyPI at 1.0.0 under Apache-2.0:
• https://pypi.org/project/kumo-relational-client/ 
• https://pypi.org/project/kumo-relational-engine/
• https://pypi.org/project/kumo-connectors/</t>
  </si>
  <si>
    <t>https://nvbugspro.nvidia.com/bug/6470036</t>
  </si>
  <si>
    <t>https://nspect.nvidia.com/review?id=NSPECT-USU5-DBYK</t>
  </si>
  <si>
    <t>https://github.com/NVIDIA/kumo-relational-client</t>
  </si>
  <si>
    <t>September EA - for Kumo 3</t>
  </si>
  <si>
    <t>Kumo 3 EA</t>
  </si>
  <si>
    <t>Kumo 3 Studio - EA only
(inc UI/Temporal etc)</t>
  </si>
  <si>
    <t xml:space="preserve">v3.1 - EA
EA for NPCI, Santander, Paypal. </t>
  </si>
  <si>
    <t>Docker Container on
-  NGC</t>
  </si>
  <si>
    <t>Joseph</t>
  </si>
  <si>
    <t>Effy /Fonda to respond on thread with Update.. Update Disha on developments when back. 
Code complete provided
OSRB submitted 7-Aug, which unblocks Santander, Coinbase, Affirm and P&amp;G. 
On-prem install (DGX Spark) landed 24-Jul and SaaS staging envs 31-Jul. Planned GA of 15-Aug sits before the 31-Aug Santander install, so the sequence needs fixing. Open question: restart OSRB and jump straight to 3.1?</t>
  </si>
  <si>
    <r>
      <rPr>
        <u/>
        <sz val="10"/>
        <color rgb="FF1155CC"/>
        <rFont val="Arial"/>
        <family val="2"/>
        <scheme val="minor"/>
      </rPr>
      <t>https://nvbugspro.nvidia.com/bug/6441538</t>
    </r>
    <r>
      <rPr>
        <sz val="10"/>
        <color rgb="FF000000"/>
        <rFont val="Arial"/>
        <family val="2"/>
        <scheme val="minor"/>
      </rPr>
      <t xml:space="preserve"> (Prev)
https://nvbugspro.nvidia.com/bug/6619129 (Current)</t>
    </r>
  </si>
  <si>
    <t>https://nspect.nvidia.com/review?id=NSPECT-1HFF-6ET2</t>
  </si>
  <si>
    <t>Santander, NPCI, P&amp;G, Paypal</t>
  </si>
  <si>
    <t>Kumo 3 SDK (for both pip install and container)</t>
  </si>
  <si>
    <t>Private Github shared with Snowflake and EA container customers (NPCI, Santander, Paypal, etc)</t>
  </si>
  <si>
    <t>Code complete provided
OSRB submitted 7-Aug, which unblocks Santander, Coinbase, Affirm and P&amp;G. 
On-prem install (DGX Spark) landed 24-Jul and SaaS staging envs 31-Jul. Planned GA of 15-Aug sits before the 31-Aug Santander install, so the sequence needs fixing. Open question: restart OSRB and jump straight to 3.1?</t>
  </si>
  <si>
    <t xml:space="preserve">Kumo 3 Core + Snowflake pip install </t>
  </si>
  <si>
    <t>v3.1 - EA
EA for Akhil at Snowflake</t>
  </si>
  <si>
    <t>PID</t>
  </si>
  <si>
    <t>Haowei</t>
  </si>
  <si>
    <t>Hema to sync directly with Haowei 
EA is pending OSRB approval. 
EA distribution will be via PID, to snowflake NVOnline site</t>
  </si>
  <si>
    <t>https://nvbugspro.nvidia.com/bug/6649311</t>
  </si>
  <si>
    <t>https://nspect.nvidia.com/registration/programs/22455/versions/76584</t>
  </si>
  <si>
    <t>export compliance: https://nvbugspro.nvidia.com/bug/6649311</t>
  </si>
  <si>
    <t>SDM v1 (Ramona)</t>
  </si>
  <si>
    <t>"SDM"</t>
  </si>
  <si>
    <t>v1</t>
  </si>
  <si>
    <t>Github</t>
  </si>
  <si>
    <t>Aki</t>
  </si>
  <si>
    <t>On Track</t>
  </si>
  <si>
    <t>Escalated -- legal blockers that Aleksandar will resolve by Sep 4. 
QA is owned by ourselves as this proj is "Type II open source projects (beta)"</t>
  </si>
  <si>
    <t>https://nvbugspro.nvidia.com/bug/6630830</t>
  </si>
  <si>
    <t>https://nspect.nvidia.com/review?id=NSPECT-MAR9-ANXN</t>
  </si>
  <si>
    <t>Repo: github.com/NVIDIA/structured-data-models</t>
  </si>
  <si>
    <t>Oct - GTC Berlin GA Releases</t>
  </si>
  <si>
    <r>
      <t xml:space="preserve">Kumo 3 Fine Tuning - pip install / Excludes Studio or Container (Effy Fang). </t>
    </r>
    <r>
      <rPr>
        <b/>
        <i/>
        <u/>
        <sz val="12"/>
        <color theme="0"/>
        <rFont val="Arial (Body)"/>
      </rPr>
      <t>Note: discuss in next meeting as we'll be 1 month out</t>
    </r>
  </si>
  <si>
    <t>Kumo 3 Source Code 
(for core "pip install")</t>
  </si>
  <si>
    <t>v3.1 - GA</t>
  </si>
  <si>
    <t>Min</t>
  </si>
  <si>
    <t xml:space="preserve">Aleksandar to discuss GA legal launch with Robin 
'Decision made on 8/26 to GA Kumo3 as a monorepo. only kumo-core, kumo-diskgraph, snowflake adaptor, dbx adaptor, and sdk client are in GA scope, though other packages will be included in the monorepo by code freeze time. </t>
  </si>
  <si>
    <t>https://nvbugspro.nvidia.com/bug/6648800</t>
  </si>
  <si>
    <t>https://nspect.nvidia.com/registration/programs/22455/versions/78151</t>
  </si>
  <si>
    <t>Kumo 3 standalone pip install</t>
  </si>
  <si>
    <t>PyPI</t>
  </si>
  <si>
    <t xml:space="preserve">only snowflake, dbx, Linux &amp; cloud notebook with GPU and SSD are in scope for GA. no mac or windows. 
</t>
  </si>
  <si>
    <t>same as above</t>
  </si>
  <si>
    <t>Kumo 3 on Snowflake ML</t>
  </si>
  <si>
    <t>As part of Snowflake Default Runtime</t>
  </si>
  <si>
    <t xml:space="preserve">EA delivery to snowflake is 9/23. minor code change for bug fix can happen between 9/23-9/30. </t>
  </si>
  <si>
    <t>Documentation / Website / Artifacts for Kumo 3</t>
  </si>
  <si>
    <t>v 1.0 GA</t>
  </si>
  <si>
    <t>GTC artifacts</t>
  </si>
  <si>
    <t>Aleks S</t>
  </si>
  <si>
    <t>The website is back on track. The draft has been submitted for review and built. Target go-live: 10/21</t>
  </si>
  <si>
    <t>Kumo 3 Coding Agent</t>
  </si>
  <si>
    <t>Kumo Agent</t>
  </si>
  <si>
    <t>Adi</t>
  </si>
  <si>
    <t>need to confirm GA scope asap. meeting on 10/5</t>
  </si>
  <si>
    <t>Kumo Relational (RFM v2.1) (Alex Porter)</t>
  </si>
  <si>
    <t>RFM Model Implementation</t>
  </si>
  <si>
    <t>V2.1
(no kaggle + SDM base)</t>
  </si>
  <si>
    <t>Internal</t>
  </si>
  <si>
    <t>Vid</t>
  </si>
  <si>
    <t xml:space="preserve">V2.1
</t>
  </si>
  <si>
    <t xml:space="preserve">Weights: 
- HF
</t>
  </si>
  <si>
    <t>model is registered as v1.1 in nspect. should be considered as a minor release, no architecture change, just retrained on new data</t>
  </si>
  <si>
    <t>https://nvbugspro.nvidia.com/bug/6575672</t>
  </si>
  <si>
    <t>https://nspect.nvidia.com/registration/programs/22195/versions/78082</t>
  </si>
  <si>
    <t>RFM Weights - Databricks (removed Snowflake)</t>
  </si>
  <si>
    <t>V2.1</t>
  </si>
  <si>
    <t>Weights: 
- Databricks
- Snow</t>
  </si>
  <si>
    <t>Josh / Adi -- yes for DB re: completing before GTC Berlin. No for Snowflake (Snowflake only wants to focus on kumo3 for now)</t>
  </si>
  <si>
    <t>NIM
- NGC
- Build</t>
  </si>
  <si>
    <t>Cannot start until SDM v1 is code complete — this is a straight port of v1 onto SDM, so the schedule is entirely inherited. Explainability still has to be added. Hugging Face weights go public with this version. OSRB should be quick once the code lands.</t>
  </si>
  <si>
    <t>https://nspect.nvidia.com/registration/programs/21898/versions/78093</t>
  </si>
  <si>
    <t>RFM Training Data/Recipe</t>
  </si>
  <si>
    <t>v2.1</t>
  </si>
  <si>
    <t>Won't do (per PM)
Will publish with 2.5 once we do not have ICL dependency</t>
  </si>
  <si>
    <t>Foundation Model Client (Manush)</t>
  </si>
  <si>
    <t>Pql support for RFM &amp; TFM</t>
  </si>
  <si>
    <t>PQL library will be packaged inside this client release to avoid having seperate OSRBs. 
Repo created and in developement. OSRB, Nspect, and PLC in process.</t>
  </si>
  <si>
    <t>http://nvbugs/6716314</t>
  </si>
  <si>
    <t>https://nspect.nvidia.com/registration/programs/24511</t>
  </si>
  <si>
    <t>https://jirasw.nvidia.com/browse/MVSB-41901</t>
  </si>
  <si>
    <t>Skills to work with sdm-client</t>
  </si>
  <si>
    <t>TFM (Aleksander Sokolovski)</t>
  </si>
  <si>
    <t>TFM Model implementation</t>
  </si>
  <si>
    <t>The model is expected to complete training by Sep 8, finalizing its weights and architecture. SDM integration and inference optimization will then take at least one week.</t>
  </si>
  <si>
    <t>TFM Weights</t>
  </si>
  <si>
    <t>Weights: 
- HF</t>
  </si>
  <si>
    <t>Model development is on track. Training for all classification and regression models is expected to finish by 8 Sep. The H200 memory bottleneck is being addressed. SDM targets GA on 28 Sep and may require SDM coordination.</t>
  </si>
  <si>
    <t>https://nvbugspro.nvidia.com/bug/6681039</t>
  </si>
  <si>
    <t>https://nspect.nvidia.com/review?id=NSPECT-LMU5-4KJP</t>
  </si>
  <si>
    <t>Reuse the existing NSpect rather than filing new</t>
  </si>
  <si>
    <t>TFM Wheel/partner packaging (Snowflake/Databricks)</t>
  </si>
  <si>
    <t>v1 (Stretch)</t>
  </si>
  <si>
    <t>For: 
- Databricks
- Snow</t>
  </si>
  <si>
    <t>need a new version and OSRB for the release see https://nvidia.slack.com/archives/C071HUXSSBA/p1788014861845669?thread_ts=1785876613.078319&amp;cid=C071HUXSSBA</t>
  </si>
  <si>
    <t>TFM Container (NIM)</t>
  </si>
  <si>
    <r>
      <rPr>
        <sz val="10"/>
        <color rgb="FF000000"/>
        <rFont val="Arial"/>
        <family val="2"/>
        <scheme val="minor"/>
      </rPr>
      <t xml:space="preserve">need to align with build team's release cycle to make it by GTC Berlin - </t>
    </r>
    <r>
      <rPr>
        <b/>
        <sz val="10"/>
        <color rgb="FF000000"/>
        <rFont val="Arial"/>
        <family val="2"/>
        <scheme val="minor"/>
      </rPr>
      <t>last release before GTC: Canary: 10/8 Production: 10/13</t>
    </r>
  </si>
  <si>
    <t>https://nvbugspro.nvidia.com/bug/6681097</t>
  </si>
  <si>
    <t>https://nspect.nvidia.com/review?id=NSPECT-I0E0-OIXC</t>
  </si>
  <si>
    <t>TFM Training Data/Recipe</t>
  </si>
  <si>
    <t>TBU</t>
  </si>
  <si>
    <t xml:space="preserve">Not in scope for GTC Berlin. Private repo. 
</t>
  </si>
  <si>
    <t xml:space="preserve">Not in scope for GTC Berlin. Private repo. </t>
  </si>
  <si>
    <t>Documentation / Website / Artifacts for TFM</t>
  </si>
  <si>
    <t xml:space="preserve">Aleksandar to sync with documentation team  &amp; with Charlotte re: new website </t>
  </si>
  <si>
    <t>Timeseries - Existing Model rebranded (No Client for Foundation Models/ PQL support) (Saira Qureshi)</t>
  </si>
  <si>
    <t>Forecasting Weights</t>
  </si>
  <si>
    <t>v1
(Existing Tesseract Model rebranded)</t>
  </si>
  <si>
    <t>Aditi</t>
  </si>
  <si>
    <t>available on HF 
Wont do Snow and DBx until v2 of model</t>
  </si>
  <si>
    <t>https://huggingface.co/nvidia/nv-tesseract-forecasting</t>
  </si>
  <si>
    <t>Forecasting Container</t>
  </si>
  <si>
    <t>The container is not being supported anymore and was last updated on June 25, 2026 under EA</t>
  </si>
  <si>
    <t>https://nspect.nvidia.com/review?id=NSPECT-21T4-GUQT</t>
  </si>
  <si>
    <t>https://catalog.ngc.nvidia.com/orgs/nim/nvidia/containers/nv-tesseract/forecasting-1.0.1</t>
  </si>
  <si>
    <t>Forecasting Training Data/Recipe</t>
  </si>
  <si>
    <t xml:space="preserve">v1
</t>
  </si>
  <si>
    <t>We may not do?
Confirm with Matthias/Aditi/Saira</t>
  </si>
  <si>
    <t>https://nvbugspro.nvidia.com/bug/6010409</t>
  </si>
  <si>
    <t>Anomaly - Existing Model rebranded (No Client for Foundation Models/ PQL support) (Saira Qureshi)</t>
  </si>
  <si>
    <t>Anomaly Weights</t>
  </si>
  <si>
    <t xml:space="preserve">available on HF </t>
  </si>
  <si>
    <t>https://huggingface.co/nvidia/nv-tesseract-ad-diffusion</t>
  </si>
  <si>
    <t>Anomaly</t>
  </si>
  <si>
    <t>https://nvbugspro.nvidia.com/bug/5672723</t>
  </si>
  <si>
    <t>https://nspect.nvidia.com/review?id=NSPECT-POGC-RJ93</t>
  </si>
  <si>
    <t>https://catalog.ngc.nvidia.com/orgs/nim/nvidia/containers/nv-tesseract/ad-diffusion-1.1.0</t>
  </si>
  <si>
    <t>Anomaly Training Data/Recipe</t>
  </si>
  <si>
    <t>December</t>
  </si>
  <si>
    <t>Kumo 3 Fine Tuning - Container with Kumo 3 Studio</t>
  </si>
  <si>
    <t>Kumo 3 Studio - GA
(inc UI/Temporal etc)</t>
  </si>
  <si>
    <r>
      <t>https://nvbugspro.nvidia.com/bug/6441538</t>
    </r>
    <r>
      <rPr>
        <sz val="10"/>
        <color rgb="FF000000"/>
        <rFont val="Arial"/>
        <family val="2"/>
        <scheme val="minor"/>
      </rPr>
      <t xml:space="preserve"> (Prev)
https://nvbugspro.nvidia.com/bug/6619129 (Current)</t>
    </r>
  </si>
  <si>
    <t>Kumo 3 Fine Tuning - pip install for Dbx / Cloudera</t>
  </si>
  <si>
    <t>Kumo 3 on DBx MLFlow</t>
  </si>
  <si>
    <t>pip install for DBx ML runtime</t>
  </si>
  <si>
    <t xml:space="preserve">EA is blocked at PLR - legal PIC comment says we need both osrb and export compliance ticket to be approved. 
EA distribution is planned via NGC, resource created and wheel uploaded. need to figure out how to set up EULA next. </t>
  </si>
  <si>
    <t>Kumo 3 on Cloudera</t>
  </si>
  <si>
    <t>pip install for Cloudera ML platform</t>
  </si>
  <si>
    <t>PQL as standalone repo</t>
  </si>
  <si>
    <t>OpenSourcing PQL as standalone sub repo
(for discussion)</t>
  </si>
  <si>
    <t xml:space="preserve">- GitHub
</t>
  </si>
  <si>
    <t>Jana / Manush</t>
  </si>
  <si>
    <t>PQL will be a standalone library that will be imported into client
Scope to inlcude select Pql enhancements for time windows</t>
  </si>
  <si>
    <t>Agents</t>
  </si>
  <si>
    <t>DataScience Skills for NLP Agents</t>
  </si>
  <si>
    <t>v1
(required for ServiceNow &amp; Oracle)</t>
  </si>
  <si>
    <t>GitHub</t>
  </si>
  <si>
    <t>Myunghwan</t>
  </si>
  <si>
    <t>Scope includes:
- text2DAG
- text2SchemaGraph (table selection and kumo schema graph formulation)
- ambiquity resolver
- OSI, OSSIE, GSF Semantic Models integration (via SDK)
- text2pql
- benchmarks</t>
  </si>
  <si>
    <t>Fraud Blue Print v2</t>
  </si>
  <si>
    <t>v2
(using a Temporal Graph Transformer + Viz interface)
May need sooner for ServiceNow?</t>
  </si>
  <si>
    <t>GitHib</t>
  </si>
  <si>
    <t>Joe E</t>
  </si>
  <si>
    <t>January</t>
  </si>
  <si>
    <t>Kumo Relational (RFM v2.5)</t>
  </si>
  <si>
    <t>V2.5
(No Tab-ICL)</t>
  </si>
  <si>
    <t>Matthias</t>
  </si>
  <si>
    <t>V2.5</t>
  </si>
  <si>
    <t>RFM Weights (Snowflake/Databricks)</t>
  </si>
  <si>
    <t>Estimate 1 week after publish to HF</t>
  </si>
  <si>
    <t>RFM Container</t>
  </si>
  <si>
    <t>Not Started</t>
  </si>
  <si>
    <t>v2.5</t>
  </si>
  <si>
    <t>V2/3
(Pql support for Forecasting, Anomaly Models)</t>
  </si>
  <si>
    <t>Jana</t>
  </si>
  <si>
    <t>Client without PQL library importing the below</t>
  </si>
  <si>
    <t>SDM v2</t>
  </si>
  <si>
    <t>v2</t>
  </si>
  <si>
    <t>Github / PyPi</t>
  </si>
  <si>
    <t>Aki/Ramona/Matthias</t>
  </si>
  <si>
    <t>Fast-follow after SDM v0.1.0 to include Kumo Tabular</t>
  </si>
  <si>
    <t>v3</t>
  </si>
  <si>
    <t>Training code release, Time Series Release</t>
  </si>
  <si>
    <t>v4</t>
  </si>
  <si>
    <t>Inference Optimizations, others</t>
  </si>
  <si>
    <t>Kumo 3.5 core</t>
  </si>
  <si>
    <t xml:space="preserve">Kumo 3.5 core
</t>
  </si>
  <si>
    <t>V3.5
(includes train &amp; inference explainability, 
BYO PyG model architecture
cuVS for RecSys</t>
  </si>
  <si>
    <t>- GitHub
- PyPI
- Snowflake ML, DBx, Cloudera upgrade</t>
  </si>
  <si>
    <t>February</t>
  </si>
  <si>
    <t>Forecasting - New Model competivive with TimesFM-3 + full PQL &amp; based on SDM  (Saira Qureshi)</t>
  </si>
  <si>
    <t>Forecasting Model</t>
  </si>
  <si>
    <t>Internal (will expand into additional rows once model lands)</t>
  </si>
  <si>
    <t>March or Beyond +++</t>
  </si>
  <si>
    <t>TLP</t>
  </si>
  <si>
    <t>Tabular Language Predictor (TLPs)</t>
  </si>
  <si>
    <t>Blue New Blue Prints</t>
  </si>
  <si>
    <t>RecSys Blue Print (based on Walmart lessoms)</t>
  </si>
  <si>
    <t>Predictive Maintenance Blue Print</t>
  </si>
  <si>
    <t>v1
( (Using Anomaly foundation model or Fine Tuned architecture supported by Kumo Core 3.5)</t>
  </si>
  <si>
    <t>Josh</t>
  </si>
  <si>
    <t>Anomaly - New Model competitive on TSB-AD benchmark + full PQL &amp; based on SDM (Saira Qureshi)</t>
  </si>
  <si>
    <t>Anomaly Model</t>
  </si>
  <si>
    <t>Stream</t>
  </si>
  <si>
    <t>NSPECT ticket</t>
  </si>
  <si>
    <t>Nspect Status</t>
  </si>
  <si>
    <t>OSRB</t>
  </si>
  <si>
    <t>DGPTT (if applicable)</t>
  </si>
  <si>
    <t>OSRB staus</t>
  </si>
  <si>
    <t>Date for GA</t>
  </si>
  <si>
    <t>NIM v1 - RFM</t>
  </si>
  <si>
    <t>NSPECT + OSRB</t>
  </si>
  <si>
    <t>https://nspect.nvidia.com/review?id=NSPECT-ZP0R-U13D</t>
  </si>
  <si>
    <t>done</t>
  </si>
  <si>
    <t>RFM Client</t>
  </si>
  <si>
    <t xml:space="preserve">done </t>
  </si>
  <si>
    <t>RFM v2 model/weights</t>
  </si>
  <si>
    <t>NSPECT+OSRB (OSRB shared with container)</t>
  </si>
  <si>
    <t>done (same as NIM v1)</t>
  </si>
  <si>
    <t>NIM v2 (contains RFM v2.1 and SDM base)</t>
  </si>
  <si>
    <t>new version registered in rfm container program</t>
  </si>
  <si>
    <t>RFM v2.1 Weights for HF/DBx</t>
  </si>
  <si>
    <t>new version registered in rfm model program</t>
  </si>
  <si>
    <t>https://jirasw.nvidia.com/browse/DGPTT-5804</t>
  </si>
  <si>
    <t>NIM v1TFM</t>
  </si>
  <si>
    <t>program created, version registered. no PLC or PLR yet</t>
  </si>
  <si>
    <t>https://jirasw.nvidia.com/browse/DGPTT-5805</t>
  </si>
  <si>
    <t>new ticket, not fully filled out</t>
  </si>
  <si>
    <t>TFM Weights for HF/DBx</t>
  </si>
  <si>
    <t>https://jirasw.nvidia.com/browse/DGPTT-5806</t>
  </si>
  <si>
    <t>new ticket, not fully filled out, asked Jingang for details.</t>
  </si>
  <si>
    <t>SDM</t>
  </si>
  <si>
    <t>PLC initiated</t>
  </si>
  <si>
    <t>in progress</t>
  </si>
  <si>
    <t>Must work with RFM &amp; TFM</t>
  </si>
  <si>
    <t>SDM Client (replaces RFM client) - will include PQL here</t>
  </si>
  <si>
    <t>https://nspect.nvidia.com/review?id=NSPECT-3LSM-ZJXM</t>
  </si>
  <si>
    <t>PLC, OSRB, Nspect initiated</t>
  </si>
  <si>
    <t>https://nvbugspro.nvidia.com/bug/6716314</t>
  </si>
  <si>
    <t xml:space="preserve">Kevin's latest comment says we need export compliance and osrb bugs to be approved... </t>
  </si>
  <si>
    <t>Kumo 3 container EA</t>
  </si>
  <si>
    <t>NSPECT</t>
  </si>
  <si>
    <t>Kumo 3 SDK EA</t>
  </si>
  <si>
    <t>Kumo 3 pip install EA</t>
  </si>
  <si>
    <t>NSPECT only</t>
  </si>
  <si>
    <t>https://nspect.nvidia.com/registration/programs/22455/versions</t>
  </si>
  <si>
    <t>blocked at PLR: https://nspect.nvidia.com/actions/compliance/legal/software/1774</t>
  </si>
  <si>
    <t>not started. do we really need this to be approved for EA?</t>
  </si>
  <si>
    <t>Kumo 3 pip install (includes Snowflake)</t>
  </si>
  <si>
    <t xml:space="preserve">this is the original kumo3 program. can we use it? </t>
  </si>
  <si>
    <t>not started</t>
  </si>
  <si>
    <t xml:space="preserve">Kumo RFM + Kumo TFM Benchmarks </t>
  </si>
  <si>
    <t>Core Assets Reference</t>
  </si>
  <si>
    <t>Last updated: 28/09/2026</t>
  </si>
  <si>
    <t>General Assets in One Drive</t>
  </si>
  <si>
    <t>Link</t>
  </si>
  <si>
    <t>Kumo official Sharepoint/One Drive Repository</t>
  </si>
  <si>
    <t>https://nvidia.sharepoint.com/sites/Kumo</t>
  </si>
  <si>
    <t>Kumo official Sharepoint/One Drive Repository All Documents</t>
  </si>
  <si>
    <t>https://nvidia.sharepoint.com/sites/Kumo/Shared%20Documents/Forms/AllItems.aspx</t>
  </si>
  <si>
    <t>Active Generic First Call Decks and Slides</t>
  </si>
  <si>
    <t>Description</t>
  </si>
  <si>
    <t>Sensitivity</t>
  </si>
  <si>
    <t>Kumo DevRel Marketing Official First Call Deck</t>
  </si>
  <si>
    <t>Structured Data Processing Master Deck.pptx</t>
  </si>
  <si>
    <t>Kumo DevRel Marketing Extended Deck</t>
  </si>
  <si>
    <t>[NOT LIVE] NVIDIA Kumo Customer Deck Working Deck.pptx</t>
  </si>
  <si>
    <t>Kumo General First Call Deck (Josh extended version)</t>
  </si>
  <si>
    <t>Kumo Tech Deep Dive (Josh extended version)</t>
  </si>
  <si>
    <t>Kumo_Technical Introduction_Oct6_JP</t>
  </si>
  <si>
    <t>Kumo for Fraud Pitch Deck</t>
  </si>
  <si>
    <t>Draft work in progress. Disha and Aser refining</t>
  </si>
  <si>
    <t>NVIDIA_KUMO_Intro_Fraud_Sept22.pptx</t>
  </si>
  <si>
    <t>Not sensitve</t>
  </si>
  <si>
    <t>Kumo for Recommendations and eCommerce</t>
  </si>
  <si>
    <t>Catalogue clean up, recommendations/personalization</t>
  </si>
  <si>
    <t>Kumo for Manufacturing and Supply Chain (with Tesseract)</t>
  </si>
  <si>
    <t>Kumo for Agents and Text 2 Prediction</t>
  </si>
  <si>
    <t>Kumo cuGraph for Large Scale Graph Analytics</t>
  </si>
  <si>
    <t xml:space="preserve">General Library of Many Slides </t>
  </si>
  <si>
    <t>Kumo_Extended_Slide_Library.pptx</t>
  </si>
  <si>
    <t>Recently Decomissioned First Call Deck</t>
  </si>
  <si>
    <t>Jun - Sept First Call Deck</t>
  </si>
  <si>
    <t>NVIDIA_KUMO_Intro_0616.pptx</t>
  </si>
  <si>
    <t>Specific Presentation (may slides will overlap with the above)</t>
  </si>
  <si>
    <t>Date Presented</t>
  </si>
  <si>
    <t>Presented by</t>
  </si>
  <si>
    <t>Presented to</t>
  </si>
  <si>
    <t>AutoML conference tech deep dive</t>
  </si>
  <si>
    <t>28 Sept, 2026</t>
  </si>
  <si>
    <t>Jure</t>
  </si>
  <si>
    <t>Conference</t>
  </si>
  <si>
    <t>Public</t>
  </si>
  <si>
    <t>Kumo SDGM Relational Tabular - keynote AutoML - Sep 2026.pptx</t>
  </si>
  <si>
    <t>Dwight All Hands Septembet 26</t>
  </si>
  <si>
    <t>26 Sept, 2026</t>
  </si>
  <si>
    <t>Dwight Eng</t>
  </si>
  <si>
    <t>NVIDIA_KUMO_Dwight_allhands_sep26-FINAL.pptx</t>
  </si>
  <si>
    <t>Kumo Dwight Team + Roadmap June 26</t>
  </si>
  <si>
    <t>26 June, 2026</t>
  </si>
  <si>
    <t>Vanja/Jure</t>
  </si>
  <si>
    <t>Dwight version</t>
  </si>
  <si>
    <t>NVIDIA_KUMO_Dwight_team_jun26.pptx</t>
  </si>
  <si>
    <t>JHH version of Dwight Team Roadmap deck</t>
  </si>
  <si>
    <t>29 June, 2026</t>
  </si>
  <si>
    <t>JHH version</t>
  </si>
  <si>
    <t>Frontier Structured Data and Graph Models_070226_vF.pptx</t>
  </si>
  <si>
    <t>Kumo Partnership and Ecosystem Engagment Strategy</t>
  </si>
  <si>
    <t>September</t>
  </si>
  <si>
    <t>Vanja</t>
  </si>
  <si>
    <t>Justin et al</t>
  </si>
  <si>
    <t>Kumo Ecosystem Map + LHAs.pptx</t>
  </si>
  <si>
    <t>Kumo PQuery Deep Dive</t>
  </si>
  <si>
    <t>Not a marketing deck -- but reference</t>
  </si>
  <si>
    <t>Kumo Model by Predictive Tasks and PQuery.pptx</t>
  </si>
  <si>
    <t>Kumo + Agents a Vision (Internal)</t>
  </si>
  <si>
    <t xml:space="preserve">June </t>
  </si>
  <si>
    <t>Agents PMs</t>
  </si>
  <si>
    <t>NVIDIA_KUMO_Agents_Intro_Jun10</t>
  </si>
  <si>
    <t>Timeseries workship with Manufacturing and Supply Chain use cases</t>
  </si>
  <si>
    <t>Aug</t>
  </si>
  <si>
    <t>Tesseract Time Series Workshop - Foundation Model Research.pptx</t>
  </si>
  <si>
    <t>Ben/Roman's Transaction Foundation Model roadmap</t>
  </si>
  <si>
    <t>Slides on Transaction Foundation Model roadmap</t>
  </si>
  <si>
    <t>Disha's Intese deck with Model Options</t>
  </si>
  <si>
    <t>nvidia_intesa_010012026.pptx</t>
  </si>
  <si>
    <t>Video Assets</t>
  </si>
  <si>
    <t>Time</t>
  </si>
  <si>
    <t xml:space="preserve">Kumo RFM Prediction Agent (Josh Version) 2mins </t>
  </si>
  <si>
    <t>~2min</t>
  </si>
  <si>
    <t>KumoRFM Prediction Agent_VoiceOver_Jan17.mp4</t>
  </si>
  <si>
    <t>Kumo RFM Prediction Agent (Blaj Version)</t>
  </si>
  <si>
    <t>~40 second</t>
  </si>
  <si>
    <t>kumormf-Text2Pql_Short.mp4</t>
  </si>
  <si>
    <t xml:space="preserve">Kumo RFM on Snowflake Intelligence (Josh Version) </t>
  </si>
  <si>
    <t>si-sales-query.mp4</t>
  </si>
  <si>
    <t>Tesseract Predictive Maintenance Demo - 7 min</t>
  </si>
  <si>
    <t>NV-Tesseract Predictive Maintenance Blueprint Demo-20260904_114014-Meeting Recording.mp4</t>
  </si>
  <si>
    <t>RecSys Online Serving (Door Dash like) demo</t>
  </si>
  <si>
    <t>Online ServingRecSys_vFinal.mp4</t>
  </si>
  <si>
    <t>Snowflake ML Integration Demo</t>
  </si>
  <si>
    <t>Kumo3inSnowML_Demo_Aug3.mp4</t>
  </si>
  <si>
    <t>Fraud demo - old now</t>
  </si>
  <si>
    <t>Fraud_Demo_Josh Voice Over.mov</t>
  </si>
  <si>
    <t>Kumo Documentation Links</t>
  </si>
  <si>
    <t>Kumo Relational on docs.api</t>
  </si>
  <si>
    <t>docs.api.nvidia</t>
  </si>
  <si>
    <t>https://docs.api.nvidia.com/nim/reference/nvidia-kumo-relational</t>
  </si>
  <si>
    <t>Kum-Engine Docs</t>
  </si>
  <si>
    <t>https://docs.nvidia.com/sdgm/platform-introduction</t>
  </si>
  <si>
    <t>Kumo Structured Data Model Docs</t>
  </si>
  <si>
    <t>nvidia.github.io</t>
  </si>
  <si>
    <t>https://nvidia.github.io/structured-data-models/overview.html</t>
  </si>
  <si>
    <t>Kumo docs staging</t>
  </si>
  <si>
    <t>https://nvidia-staging-sdgm.docs.buildwithfern.com/sdgm</t>
  </si>
  <si>
    <t>SDGM Ops meetings</t>
  </si>
  <si>
    <t>Link to Ops meetings.</t>
  </si>
  <si>
    <t>Engineering Operations</t>
  </si>
  <si>
    <t>Repo / Github Links / Build / Hugging Face / etc</t>
  </si>
  <si>
    <t>Type</t>
  </si>
  <si>
    <t>Public/Private/PrivateEA</t>
  </si>
  <si>
    <t>Foundation Model Libraries</t>
  </si>
  <si>
    <t>Structured Data Models Repo</t>
  </si>
  <si>
    <t>Git</t>
  </si>
  <si>
    <t>https://github.com/NVIDIA/structured-data-models</t>
  </si>
  <si>
    <t>Structured Data Models on PyPI</t>
  </si>
  <si>
    <t>Coming soon</t>
  </si>
  <si>
    <t>Sructured Data Model Client</t>
  </si>
  <si>
    <t>https://gitlab-master.nvidia.com/kumo-tfm-nims/sdm-client</t>
  </si>
  <si>
    <t>Kumo Tabular</t>
  </si>
  <si>
    <t>Hugging Face</t>
  </si>
  <si>
    <t>Weights</t>
  </si>
  <si>
    <t>https://huggingface.co/nvidia/Kumo-Tabular</t>
  </si>
  <si>
    <t>NIM on NGC</t>
  </si>
  <si>
    <t>Container</t>
  </si>
  <si>
    <t>Build &amp; Playground</t>
  </si>
  <si>
    <t>Build</t>
  </si>
  <si>
    <t>Repo (Training Data + Recipe + Example Notebooks)</t>
  </si>
  <si>
    <t>Kumo Relational</t>
  </si>
  <si>
    <t>https://huggingface.co/nvidia/Kumo-Relational</t>
  </si>
  <si>
    <t>nvcr.io/nim/nvidia/kumo-relational:1.0.0</t>
  </si>
  <si>
    <t>https://build.nvidia.com/nvidia/kumo-relational</t>
  </si>
  <si>
    <r>
      <t xml:space="preserve">Kumo Forecast </t>
    </r>
    <r>
      <rPr>
        <sz val="10"/>
        <color rgb="FF000000"/>
        <rFont val="Arial"/>
        <family val="2"/>
        <scheme val="minor"/>
      </rPr>
      <t>(nvTesseract Forecast)</t>
    </r>
  </si>
  <si>
    <t>Kumo Forecast Repo</t>
  </si>
  <si>
    <t>https://github.com/NVIDIA/Kumo-TS</t>
  </si>
  <si>
    <t>https://github.com/NVIDIA/Kumo-TS/tree/main/Kumo-Forecast</t>
  </si>
  <si>
    <r>
      <t xml:space="preserve">Kumo Forecast </t>
    </r>
    <r>
      <rPr>
        <sz val="10"/>
        <color rgb="FF000000"/>
        <rFont val="Arial"/>
        <family val="2"/>
        <scheme val="minor"/>
      </rPr>
      <t>(nvTesseract Diffusion)</t>
    </r>
  </si>
  <si>
    <t>Kumo Anomaly Repo</t>
  </si>
  <si>
    <t>https://github.com/NVIDIA/Kumo-TS/tree/main/Kumo-Anomaly</t>
  </si>
  <si>
    <r>
      <t xml:space="preserve">Kumo-Engine </t>
    </r>
    <r>
      <rPr>
        <sz val="10"/>
        <color theme="1"/>
        <rFont val="Arial"/>
        <family val="2"/>
        <scheme val="minor"/>
      </rPr>
      <t>(Fine tuning RDL platform)</t>
    </r>
  </si>
  <si>
    <t>Kumo 3</t>
  </si>
  <si>
    <t>https://github.com/kumo-ai</t>
  </si>
  <si>
    <t>Kumo 3 Client</t>
  </si>
  <si>
    <t>Kumo 3 on PyPI</t>
  </si>
  <si>
    <t>Kumo 3 NIM on NGC</t>
  </si>
  <si>
    <t>Private</t>
  </si>
  <si>
    <t>Centralized Benchmark Resources</t>
  </si>
  <si>
    <t>Allens Leaderboard for Benchmarks on Fraud and RelBench Tasks</t>
  </si>
  <si>
    <t>https://rfm-bench-978aa6.gitlab-master-pages.nvidia.com/</t>
  </si>
  <si>
    <t>Product Marketing Assets</t>
  </si>
  <si>
    <t>Kumo Messaging Doc</t>
  </si>
  <si>
    <t>https://docs.google.com/document/d/1inWuFEixidPaqA7xxhafn1Ehc3TL_O2E3jnG7e3GNtI/edit?tab=t.xjsvpxqueo2u#heading=h.stpcgzr927y2</t>
  </si>
  <si>
    <t>Kumo TFM Launch Blog Post</t>
  </si>
  <si>
    <t>GTC Berlin Slide Deck</t>
  </si>
  <si>
    <t>Actve Spec Docs</t>
  </si>
  <si>
    <t>Kumo-Timeseries in SDM-Client</t>
  </si>
  <si>
    <t>https://docs.google.com/document/d/1i-gVWzmgUTEBJ7yXjni4rt6FuC8MKfmdZlOwwgHw7Gs/edit?tab=t.0#heading=h.c0ks8judyiw6</t>
  </si>
  <si>
    <t>Kumo Coding agent</t>
  </si>
  <si>
    <t>https://nvidia.sharepoint.com/:w:/r/sites/Kumo/_layouts/15/Doc.aspx?sourcedoc=%7B55BAB10D-B5EB-4ED4-9181-303E88F182BD%7D&amp;file=Kumo_Coding_Agent_GA_Spec_draft.docx</t>
  </si>
  <si>
    <t>Feature Gen Gaps  (very important)</t>
  </si>
  <si>
    <t>Manush / MK</t>
  </si>
  <si>
    <t>https://docs.google.com/document/d/1Q-rRvoxd6eeWpHGR4Cql8C64VhLQFoaMnW7IHla-N6U/edit?tab=t.0#heading=h.m8hiv9a42m4y</t>
  </si>
  <si>
    <t>Kumo-Engine</t>
  </si>
  <si>
    <t>#</t>
  </si>
  <si>
    <t>Item</t>
  </si>
  <si>
    <t>JIRA Init</t>
  </si>
  <si>
    <t>Core requirements</t>
  </si>
  <si>
    <t>Success Criteria</t>
  </si>
  <si>
    <t>Open Questions</t>
  </si>
  <si>
    <t>Clean up of Kumo-Engine on Snowflake / Databricks pip installs + start Cloudera</t>
  </si>
  <si>
    <t>In-process</t>
  </si>
  <si>
    <t>Kumo-Engine support for training/inference of sequence models (Phase 1)</t>
  </si>
  <si>
    <t>Gathering</t>
  </si>
  <si>
    <t>Training/Post-Training/Inference of existing Nvidia Transaction fraud v2 model (based on pragma)</t>
  </si>
  <si>
    <t>All TransactionFM engagements move to Kumo-Engine for Training/Inference</t>
  </si>
  <si>
    <t>Megatron is the alternative platfform. Can we re-use code from megatron? How will we be different?</t>
  </si>
  <si>
    <t>Includes single node, Multi-GPU based training &amp; post tuning</t>
  </si>
  <si>
    <t>Scale (upcoming engagments - Ben/Roman providing details)</t>
  </si>
  <si>
    <r>
      <t xml:space="preserve">Batch Inference only for MVP </t>
    </r>
    <r>
      <rPr>
        <b/>
        <sz val="10"/>
        <color rgb="FF000000"/>
        <rFont val="Arial"/>
        <family val="2"/>
        <scheme val="minor"/>
      </rPr>
      <t>(lets debate if we can bring into scope)</t>
    </r>
  </si>
  <si>
    <t xml:space="preserve">     Out of scope: Novel new relational + Transaction sequence models (this comes in phase 2)</t>
  </si>
  <si>
    <t xml:space="preserve">     Out of scope: Online serving for Transaction Fraud model (phase 2)</t>
  </si>
  <si>
    <t xml:space="preserve">     Out of scope: Explainability (not yet supported in currently blue print - discuss reqs with Ben)</t>
  </si>
  <si>
    <t xml:space="preserve">     Out of scope: Kumo Studio for MV (may come in phase 2)</t>
  </si>
  <si>
    <t>Kumo-Engine bring your own GNN/GT/Sequence model</t>
  </si>
  <si>
    <t>Make it easy for users to implement their own (GNN/GT/Sequence) model architecture</t>
  </si>
  <si>
    <t>Can adoption pod implement one of the architectures described by Ho, Karami &amp; Armanfard, "Graph Anomaly Detection in Time Series: A Survey," IEEE TPAMI, 2025</t>
  </si>
  <si>
    <t>Including making it simple to add a PR to make the model available others</t>
  </si>
  <si>
    <t>Including hooks to expose explainability features</t>
  </si>
  <si>
    <t>Including hooks to implement custom graph samples required for novel architectures</t>
  </si>
  <si>
    <t>Consider breaking models into its own submodule as opposed to baked into core for easier exstensibility</t>
  </si>
  <si>
    <t>Relax strict relationship rules on Kumo graph</t>
  </si>
  <si>
    <t>Relax strict PK/FK rules</t>
  </si>
  <si>
    <t>Reduce workarounds / feature engineering reported by adoption teams</t>
  </si>
  <si>
    <t>See dependency with agents workstream: https://docs.google.com/document/d/1Q-rRvoxd6eeWpHGR4Cql8C64VhLQFoaMnW7IHla-N6U/edit?tab=t.0</t>
  </si>
  <si>
    <t>Enable relationships within the same table (e.g., asset hiarachy)</t>
  </si>
  <si>
    <t>Enable relationships between non PK/FK fields</t>
  </si>
  <si>
    <t>Match on calc fields (extension of composite keys)</t>
  </si>
  <si>
    <t>Support feature importance for batch inference use cases (as opt in)</t>
  </si>
  <si>
    <t>Deprioritize?</t>
  </si>
  <si>
    <t>Global gradient scores, subgraph, column analysis supported and exportable (not just on scratch)</t>
  </si>
  <si>
    <t xml:space="preserve">Snowflake and Databricks customers provide positibe </t>
  </si>
  <si>
    <t>Add support for feature/subgraph explainer for batch inference at scale (new feature)</t>
  </si>
  <si>
    <t>Supported both by pip install and Studio versions</t>
  </si>
  <si>
    <t>Tech debt addressed (https://github.com/kumo-ai/kumo/pull/31295, /kumo/pull/31289)</t>
  </si>
  <si>
    <t xml:space="preserve">    Out of scope: feature importance for online use cases</t>
  </si>
  <si>
    <t>Bring training of RFM/TFM/Timeseries foundation models to Kumo 3</t>
  </si>
  <si>
    <t>Ability to train from scratch Kumo Relational 2.5</t>
  </si>
  <si>
    <t>Training recipes that will be launched later this year should be based on Kumo-engine</t>
  </si>
  <si>
    <t>What is the stack we use for training RFM/TFM? This should not be in SDM repo? Causing too much confusion</t>
  </si>
  <si>
    <t>Ability to train from scratch Kumo Tabular</t>
  </si>
  <si>
    <t xml:space="preserve">     Out of scope: Sythetic data generators can be input to Kumo-engine and can live in SDM or elsewhere</t>
  </si>
  <si>
    <t>Bring Graph Engine to In-Context Foundation models for high batch use cases</t>
  </si>
  <si>
    <t>Used to scale large scale inference jobs where push down sampling not practical &amp; support online serving</t>
  </si>
  <si>
    <t>Do we believe that In-context models will start outperforming task specific Kumo 3 models?</t>
  </si>
  <si>
    <t>RecSys - improve scalability (hold)</t>
  </si>
  <si>
    <t xml:space="preserve">Explore options to scale Recommender System models. Current limitations on RHS embeddings. </t>
  </si>
  <si>
    <t>Sequence models are showing promise. Do we want to invest in LHS/RHS graph approach?</t>
  </si>
  <si>
    <t>Can we use cuVec? Do we need in memory? Explore how turbopuffer and disk optimized algos work</t>
  </si>
  <si>
    <t>Scale disk graph beyond a single node or separate GPU vs NVMe nodes</t>
  </si>
  <si>
    <t xml:space="preserve">Current disk graph is limited by NVMe size. </t>
  </si>
  <si>
    <t>Dissagregate GPU compute from local storage (scale beyond 1+Tb &amp; improve GPU utilization)</t>
  </si>
  <si>
    <t>Explore distributed NVMe options, Hybrid NVMe + ScyllaDB/BigTable/Cass OR + EBS io2 Block Express, etc</t>
  </si>
  <si>
    <t>Explore new graph partitioning logic and data structure optimizations</t>
  </si>
  <si>
    <t>Or separate nodes that has NVMe from GPU node</t>
  </si>
  <si>
    <t>Online serving architecture for Graph Fraud and Recys</t>
  </si>
  <si>
    <t>Deprioritize? (focus on sequence models)</t>
  </si>
  <si>
    <t>Expect inference data to arrive via Kafka or Kinesis. Predictions to be emitted back to Kafka/Kinesis</t>
  </si>
  <si>
    <t>Do we still want to consider the distillation approach?</t>
  </si>
  <si>
    <t>Expect sub second latency requirements</t>
  </si>
  <si>
    <t>Architecture may include XGBoost as live endpoint,</t>
  </si>
  <si>
    <t>or appendable "llive feature" graph store for use with a RFM or a task specific model</t>
  </si>
  <si>
    <t>Bring RecSys Sequence Models to Kumo 3 for online and high scale use cases</t>
  </si>
  <si>
    <t>See https://github.com/NVIDIA/recsys-examples/tree/main/examples/hstu</t>
  </si>
  <si>
    <t>Benchmarking</t>
  </si>
  <si>
    <t>Create centralized benchmark repository</t>
  </si>
  <si>
    <t>Includes benchmarks for foundation models, including tesseract models, and fine tuned models</t>
  </si>
  <si>
    <t>PM knows where to look for benchmark assets. PM knows what benchmarks are planned and what our gaps are</t>
  </si>
  <si>
    <t>Can we expand on: https://rfm-bench-978aa6.gitlab-master-pages.nvidia.com/</t>
  </si>
  <si>
    <t xml:space="preserve">      Includes benchmark arenas</t>
  </si>
  <si>
    <t xml:space="preserve">      Inclused non arena datasets for Industry specific use cases:</t>
  </si>
  <si>
    <t xml:space="preserve">           Fraud</t>
  </si>
  <si>
    <t xml:space="preserve">           RecSys</t>
  </si>
  <si>
    <t xml:space="preserve">           Predictive Maintenance</t>
  </si>
  <si>
    <t xml:space="preserve">           Inventory Forcasting</t>
  </si>
  <si>
    <t>Includes benchmarks for agent skills (how well does the agent formulate the task)</t>
  </si>
  <si>
    <t>Includes not just model performance but scale limits &amp; prediction latency  (can we use for online serving)</t>
  </si>
  <si>
    <t xml:space="preserve">Add suppport SDM support for Tesseract models </t>
  </si>
  <si>
    <t>In-progress?</t>
  </si>
  <si>
    <t xml:space="preserve">PM recommends we do not create a competitor to Kumo-Engine. </t>
  </si>
  <si>
    <t xml:space="preserve">Keep SDM simple as an inference and acceleration layer (e.g., vLLM for structured data modeks). </t>
  </si>
  <si>
    <t>Can we incorporate training/post training into kumo-engine?</t>
  </si>
  <si>
    <t>In-context Foundation models</t>
  </si>
  <si>
    <t>Release RFM 2.5 (</t>
  </si>
  <si>
    <t>rdblearn</t>
  </si>
  <si>
    <t>Open questions - can we consolidate the number of models -- we have too many</t>
  </si>
  <si>
    <t>Can Kumo Relational and Kumo Tabular be combined in future?</t>
  </si>
  <si>
    <t>5'</t>
  </si>
  <si>
    <t>Accelerate Inference of Kumo Tabular</t>
  </si>
  <si>
    <t>Kumo 3 pip launch timeline</t>
  </si>
  <si>
    <t>Colored week cell = active duration • White = inactive • ◆ hard date • ⚠ unresolved risk</t>
  </si>
  <si>
    <t>Team</t>
  </si>
  <si>
    <t>Workstream</t>
  </si>
  <si>
    <t>Aug 28–30
(partial)</t>
  </si>
  <si>
    <t>Aug 31–Sep 6</t>
  </si>
  <si>
    <t>Sep 7–13</t>
  </si>
  <si>
    <t>Sep 14–20</t>
  </si>
  <si>
    <t>Sep 21–27</t>
  </si>
  <si>
    <t>Sep 28–Oct 4</t>
  </si>
  <si>
    <t>Oct 5–11</t>
  </si>
  <si>
    <t>Oct 12–18</t>
  </si>
  <si>
    <t>Oct 19–22
(GA week)</t>
  </si>
  <si>
    <t>SHARED</t>
  </si>
  <si>
    <t>Min
Joseph
Effy</t>
  </si>
  <si>
    <t>Launch gates and Platform qualification</t>
  </si>
  <si>
    <t> </t>
  </si>
  <si>
    <r>
      <t xml:space="preserve">◆ Essentials, Snowflake EA, and pip distribution code complete
</t>
    </r>
    <r>
      <rPr>
        <b/>
        <sz val="11"/>
        <color rgb="FF000000"/>
        <rFont val="Calibri"/>
        <family val="2"/>
      </rPr>
      <t>Qualify Snowflake EA</t>
    </r>
  </si>
  <si>
    <t>◆ Platform code complete</t>
  </si>
  <si>
    <r>
      <t xml:space="preserve">◆ Snowflake EA freeze
</t>
    </r>
    <r>
      <rPr>
        <b/>
        <sz val="11"/>
        <color rgb="FF000000"/>
        <rFont val="Calibri"/>
        <family val="2"/>
      </rPr>
      <t>Run cross-environment qualification</t>
    </r>
  </si>
  <si>
    <t>◆ Snowflake EA release
◆ Benchmarking complete</t>
  </si>
  <si>
    <t>◆ Release quality complete
◆ Kumo 3.1 code freeze</t>
  </si>
  <si>
    <t>Close release blockers</t>
  </si>
  <si>
    <t>◆ Kumo 3 pip GA</t>
  </si>
  <si>
    <t>TEAM 1
Engineering</t>
  </si>
  <si>
    <t>Snowflake EA delivery</t>
  </si>
  <si>
    <t>Complete Snowflake EA</t>
  </si>
  <si>
    <t>Close acceptance gaps</t>
  </si>
  <si>
    <t>◆ Freeze Snowflake EA</t>
  </si>
  <si>
    <t>◆ Release Snowflake EA</t>
  </si>
  <si>
    <t>Core hardening &amp; testing</t>
  </si>
  <si>
    <t>Fix critical defects and align tests</t>
  </si>
  <si>
    <t>Harden essentials and core</t>
  </si>
  <si>
    <t>Complete core hardening</t>
  </si>
  <si>
    <t>Run final regression</t>
  </si>
  <si>
    <t>◆ Complete release verification</t>
  </si>
  <si>
    <t>GA engineering readiness</t>
  </si>
  <si>
    <t>Scope OSS cleanup</t>
  </si>
  <si>
    <t>Complete readiness plan</t>
  </si>
  <si>
    <t>Execute monorepo and environment work</t>
  </si>
  <si>
    <t>Complete platform engineering</t>
  </si>
  <si>
    <t>◆ Freeze release candidate</t>
  </si>
  <si>
    <t>TEAM 2
Launch readiness</t>
  </si>
  <si>
    <t>Joseph
Effy</t>
  </si>
  <si>
    <t>Enablement &amp; launch readiness</t>
  </si>
  <si>
    <t>Onboarding Guidance Scope
Customer Reqs
VDR Plan</t>
  </si>
  <si>
    <t>Agent/MCP Workflows</t>
  </si>
  <si>
    <t>Validate onboarding and demos</t>
  </si>
  <si>
    <t>Publish EA guidance and partner blueprints</t>
  </si>
  <si>
    <t>Validate GA guides</t>
  </si>
  <si>
    <t>Run partner and demo rehearsals</t>
  </si>
  <si>
    <t>Finalize known issues and Day 0 bundle</t>
  </si>
  <si>
    <t>Publish launch materials and support partners</t>
  </si>
  <si>
    <t>Evidence, compliance &amp; model trust</t>
  </si>
  <si>
    <t>Benchmark Matrix</t>
  </si>
  <si>
    <t>Run baselines and repository review</t>
  </si>
  <si>
    <t>File compliance and validate artifact retrieval</t>
  </si>
  <si>
    <t>Complete benchmark and EA clearance</t>
  </si>
  <si>
    <t>Complete security, provenance, and XAI validation</t>
  </si>
  <si>
    <t>Audit packages and resolve benchmark gaps</t>
  </si>
  <si>
    <t>Close compliance and approve reports</t>
  </si>
  <si>
    <t>Approve distribution and publish evidence</t>
  </si>
  <si>
    <t>TLD - Need to migrate this to the SDM repo. One or two weeks to complete this code</t>
  </si>
  <si>
    <t xml:space="preserve">Matthis needs to review the client SDK -- </t>
  </si>
  <si>
    <t>Need to check guarrails if using Pquery with a non RFM model</t>
  </si>
  <si>
    <t>Check if we can bring your own custom train table</t>
  </si>
  <si>
    <t>Ramona to sync with Adi and Manush on ML Flow weights loader and snowflake equiavlent + snowflake</t>
  </si>
  <si>
    <t xml:space="preserve">We will copy code and remove dependency (Kumo-API) for SDM  </t>
  </si>
  <si>
    <t>Put deperecated on old GiytHub and PyPI paclages in Kumo</t>
  </si>
  <si>
    <t>Promote internally</t>
  </si>
  <si>
    <t>Activity</t>
  </si>
  <si>
    <t>Kumo Contact</t>
  </si>
  <si>
    <t>External Contact</t>
  </si>
  <si>
    <t>ETA</t>
  </si>
  <si>
    <t>Pre-requiites</t>
  </si>
  <si>
    <t>Notes</t>
  </si>
  <si>
    <t>Engineering Readiness</t>
  </si>
  <si>
    <t>Model</t>
  </si>
  <si>
    <r>
      <rPr>
        <b/>
        <sz val="10"/>
        <color theme="5"/>
        <rFont val="Arial"/>
        <family val="2"/>
        <scheme val="minor"/>
      </rPr>
      <t>Model -</t>
    </r>
    <r>
      <rPr>
        <sz val="10"/>
        <color theme="5"/>
        <rFont val="Arial"/>
        <family val="2"/>
        <scheme val="minor"/>
      </rPr>
      <t xml:space="preserve"> packaged as NIM engieering complete ex. OSRB &amp; QA fixes</t>
    </r>
  </si>
  <si>
    <t>Alex P</t>
  </si>
  <si>
    <r>
      <rPr>
        <b/>
        <sz val="10"/>
        <color rgb="FF000000"/>
        <rFont val="Arial"/>
        <family val="2"/>
        <scheme val="minor"/>
      </rPr>
      <t>Model -</t>
    </r>
    <r>
      <rPr>
        <sz val="10"/>
        <color rgb="FF000000"/>
        <rFont val="Arial"/>
        <family val="2"/>
        <scheme val="minor"/>
      </rPr>
      <t xml:space="preserve"> NIM meeting OSRB Vulnerability and Dependency requirements</t>
    </r>
  </si>
  <si>
    <t>Ask Alex+Matthias: When can we have a NIM that includes SDM repo instead of Kumo ML so we can re scan as part of OSRB</t>
  </si>
  <si>
    <r>
      <rPr>
        <b/>
        <sz val="10"/>
        <color theme="5"/>
        <rFont val="Arial"/>
        <family val="2"/>
        <scheme val="minor"/>
      </rPr>
      <t>Model -</t>
    </r>
    <r>
      <rPr>
        <sz val="10"/>
        <color theme="5"/>
        <rFont val="Arial"/>
        <family val="2"/>
        <scheme val="minor"/>
      </rPr>
      <t xml:space="preserve"> QA Validated</t>
    </r>
  </si>
  <si>
    <t>John Liu</t>
  </si>
  <si>
    <r>
      <rPr>
        <b/>
        <sz val="10"/>
        <color rgb="FF000000"/>
        <rFont val="Arial"/>
        <family val="2"/>
        <scheme val="minor"/>
      </rPr>
      <t xml:space="preserve">Model Weights </t>
    </r>
    <r>
      <rPr>
        <sz val="10"/>
        <color rgb="FF000000"/>
        <rFont val="Arial"/>
        <family val="2"/>
        <scheme val="minor"/>
      </rPr>
      <t>- Prepared for Hugging Face</t>
    </r>
  </si>
  <si>
    <t>Josh P / Matthias</t>
  </si>
  <si>
    <r>
      <rPr>
        <b/>
        <sz val="10"/>
        <color rgb="FF000000"/>
        <rFont val="Arial"/>
        <family val="2"/>
      </rPr>
      <t>Model Weights and Inference Source Code and Model Loader</t>
    </r>
    <r>
      <rPr>
        <sz val="10"/>
        <color rgb="FF000000"/>
        <rFont val="Arial"/>
        <family val="2"/>
      </rPr>
      <t xml:space="preserve"> - Prepared for GitHub (including readme)</t>
    </r>
  </si>
  <si>
    <t>Josh P / Matthias ? Ramona</t>
  </si>
  <si>
    <t>SDK</t>
  </si>
  <si>
    <r>
      <rPr>
        <b/>
        <sz val="10"/>
        <color rgb="FF000000"/>
        <rFont val="Arial"/>
        <family val="2"/>
        <scheme val="minor"/>
      </rPr>
      <t xml:space="preserve">SDK - </t>
    </r>
    <r>
      <rPr>
        <sz val="10"/>
        <color rgb="FF000000"/>
        <rFont val="Arial"/>
        <family val="2"/>
        <scheme val="minor"/>
      </rPr>
      <t>for RFM NIM only engineering complete ex. OSRB &amp; QA fixes</t>
    </r>
  </si>
  <si>
    <r>
      <t xml:space="preserve">SDK - </t>
    </r>
    <r>
      <rPr>
        <sz val="10"/>
        <color rgb="FF000000"/>
        <rFont val="Arial"/>
        <family val="2"/>
        <scheme val="minor"/>
      </rPr>
      <t>Package via</t>
    </r>
    <r>
      <rPr>
        <b/>
        <sz val="10"/>
        <color rgb="FF000000"/>
        <rFont val="Arial"/>
        <family val="2"/>
        <scheme val="minor"/>
      </rPr>
      <t xml:space="preserve"> Kitmaker</t>
    </r>
  </si>
  <si>
    <t>Kitmaker, requires OSRB first?</t>
  </si>
  <si>
    <t>Kitmaker already setup. Just waiting OSRB</t>
  </si>
  <si>
    <r>
      <rPr>
        <b/>
        <sz val="10"/>
        <color rgb="FF000000"/>
        <rFont val="Arial"/>
        <family val="2"/>
        <scheme val="minor"/>
      </rPr>
      <t xml:space="preserve">SDK - </t>
    </r>
    <r>
      <rPr>
        <sz val="10"/>
        <color rgb="FF000000"/>
        <rFont val="Arial"/>
        <family val="2"/>
        <scheme val="minor"/>
      </rPr>
      <t>addrssing all OSRB Vulnerability and Dependency requirements</t>
    </r>
  </si>
  <si>
    <t>SDM SDK needs to be fully separate of Kump 3.0 and any shared dependency</t>
  </si>
  <si>
    <r>
      <rPr>
        <b/>
        <sz val="10"/>
        <color rgb="FF000000"/>
        <rFont val="Arial"/>
        <family val="2"/>
      </rPr>
      <t>SDK -</t>
    </r>
    <r>
      <rPr>
        <sz val="10"/>
        <color rgb="FF000000"/>
        <rFont val="Arial"/>
        <family val="2"/>
      </rPr>
      <t xml:space="preserve"> Internal QA</t>
    </r>
  </si>
  <si>
    <t>Effy+Ruthvika</t>
  </si>
  <si>
    <t>Keep the TabICL functionality within the SDM SDK</t>
  </si>
  <si>
    <r>
      <rPr>
        <b/>
        <sz val="10"/>
        <color rgb="FF000000"/>
        <rFont val="Arial"/>
        <family val="2"/>
        <scheme val="minor"/>
      </rPr>
      <t>SDK -</t>
    </r>
    <r>
      <rPr>
        <sz val="10"/>
        <color rgb="FF000000"/>
        <rFont val="Arial"/>
        <family val="2"/>
        <scheme val="minor"/>
      </rPr>
      <t xml:space="preserve"> QA Validated</t>
    </r>
  </si>
  <si>
    <t>SDK does not have gradient scores feature</t>
  </si>
  <si>
    <t>.evaluate should not be supported</t>
  </si>
  <si>
    <t>Git Hub Repo</t>
  </si>
  <si>
    <t xml:space="preserve">Ramona / </t>
  </si>
  <si>
    <t>Code Complete</t>
  </si>
  <si>
    <t>Build playground</t>
  </si>
  <si>
    <r>
      <t xml:space="preserve">Build </t>
    </r>
    <r>
      <rPr>
        <sz val="10"/>
        <color rgb="FF000000"/>
        <rFont val="Arial"/>
        <family val="2"/>
        <scheme val="minor"/>
      </rPr>
      <t>- Playground engineering complete</t>
    </r>
  </si>
  <si>
    <t>draft complete. Needs decisions on explainability</t>
  </si>
  <si>
    <t>Josh to follow up on explainability - need to precan</t>
  </si>
  <si>
    <r>
      <t xml:space="preserve">Build </t>
    </r>
    <r>
      <rPr>
        <sz val="10"/>
        <color rgb="FF000000"/>
        <rFont val="Arial"/>
        <family val="2"/>
        <scheme val="minor"/>
      </rPr>
      <t>- Model card complete</t>
    </r>
  </si>
  <si>
    <r>
      <t xml:space="preserve">Build </t>
    </r>
    <r>
      <rPr>
        <sz val="10"/>
        <color rgb="FF000000"/>
        <rFont val="Arial"/>
        <family val="2"/>
        <scheme val="minor"/>
      </rPr>
      <t>- QA Validated</t>
    </r>
  </si>
  <si>
    <t>Publishing</t>
  </si>
  <si>
    <t>Source code / weights</t>
  </si>
  <si>
    <t>Hugging Face - Publish RFM Weights</t>
  </si>
  <si>
    <t>Ramona? / Manush</t>
  </si>
  <si>
    <t>OSRB of NIM</t>
  </si>
  <si>
    <r>
      <rPr>
        <b/>
        <sz val="10"/>
        <color rgb="FF000000"/>
        <rFont val="Arial"/>
        <family val="2"/>
        <scheme val="minor"/>
      </rPr>
      <t>GitHub</t>
    </r>
    <r>
      <rPr>
        <sz val="10"/>
        <color rgb="FF000000"/>
        <rFont val="Arial"/>
        <family val="2"/>
        <scheme val="minor"/>
      </rPr>
      <t xml:space="preserve"> -  Inference Source Code - Weights Loader (stretch)</t>
    </r>
  </si>
  <si>
    <r>
      <rPr>
        <b/>
        <sz val="10"/>
        <color theme="1"/>
        <rFont val="Arial"/>
        <family val="2"/>
        <scheme val="minor"/>
      </rPr>
      <t>PyPy</t>
    </r>
    <r>
      <rPr>
        <sz val="10"/>
        <color theme="1"/>
        <rFont val="Arial"/>
        <family val="2"/>
        <scheme val="minor"/>
      </rPr>
      <t xml:space="preserve"> - Model as a pip wheel / conda package - this is the same as the repo above</t>
    </r>
  </si>
  <si>
    <t>Deprioritized</t>
  </si>
  <si>
    <t>Initiative to come togerher with SDM repo - meeting with Ramona</t>
  </si>
  <si>
    <r>
      <rPr>
        <b/>
        <sz val="10"/>
        <color rgb="FF000000"/>
        <rFont val="Arial"/>
        <family val="2"/>
        <scheme val="minor"/>
      </rPr>
      <t>Databricks</t>
    </r>
    <r>
      <rPr>
        <sz val="10"/>
        <color rgb="FF000000"/>
        <rFont val="Arial"/>
        <family val="2"/>
        <scheme val="minor"/>
      </rPr>
      <t xml:space="preserve"> - RFM packaged in MLFlow served via Marketplace</t>
    </r>
  </si>
  <si>
    <t>Maria Pere-Perez</t>
  </si>
  <si>
    <t>OSRB of SDK, NVIDIA legal review of "Data Partner Agreement" + signature, Databricks approval of our technical integration</t>
  </si>
  <si>
    <r>
      <rPr>
        <b/>
        <sz val="10"/>
        <color rgb="FF000000"/>
        <rFont val="Arial"/>
        <family val="2"/>
        <scheme val="minor"/>
      </rPr>
      <t>Snowflake</t>
    </r>
    <r>
      <rPr>
        <sz val="10"/>
        <color rgb="FF000000"/>
        <rFont val="Arial"/>
        <family val="2"/>
        <scheme val="minor"/>
      </rPr>
      <t xml:space="preserve"> - RFM packaged as CustomModel in Snowflake Model Registry </t>
    </r>
  </si>
  <si>
    <t>POC done, same as Databricks</t>
  </si>
  <si>
    <t>Snowflake is currently interested in Kumo 3.0 currently so all talks about RFM have been minimized</t>
  </si>
  <si>
    <r>
      <rPr>
        <b/>
        <sz val="10"/>
        <color rgb="FF000000"/>
        <rFont val="Arial"/>
        <family val="2"/>
        <scheme val="minor"/>
      </rPr>
      <t xml:space="preserve">Nvidia NGC </t>
    </r>
    <r>
      <rPr>
        <sz val="10"/>
        <color rgb="FF000000"/>
        <rFont val="Arial"/>
        <family val="2"/>
        <scheme val="minor"/>
      </rPr>
      <t xml:space="preserve"> - Downloadable NIM container publicly available</t>
    </r>
  </si>
  <si>
    <t>NVIDIA GPU Cloud (NGC)</t>
  </si>
  <si>
    <t>https://ngc.nvidia.com/signin</t>
  </si>
  <si>
    <r>
      <rPr>
        <b/>
        <sz val="10"/>
        <color rgb="FF000000"/>
        <rFont val="Arial"/>
        <family val="2"/>
        <scheme val="minor"/>
      </rPr>
      <t>Docker Hub -</t>
    </r>
    <r>
      <rPr>
        <sz val="10"/>
        <color rgb="FF000000"/>
        <rFont val="Arial"/>
        <family val="2"/>
        <scheme val="minor"/>
      </rPr>
      <t xml:space="preserve"> Downloadable NIM container publicly available via nvcr.io</t>
    </r>
  </si>
  <si>
    <t>docker login nvcr.io | Example: https://build.nvidia.com/nvidia/nvidia-cuopt/deploy</t>
  </si>
  <si>
    <t xml:space="preserve">Free Endpoint / Playground </t>
  </si>
  <si>
    <r>
      <t xml:space="preserve">build.nvidia.com </t>
    </r>
    <r>
      <rPr>
        <sz val="10"/>
        <color rgb="FF000000"/>
        <rFont val="Arial"/>
        <family val="2"/>
        <scheme val="minor"/>
      </rPr>
      <t>- Downloadable NIM container publicly available</t>
    </r>
  </si>
  <si>
    <t>Same as docker hub</t>
  </si>
  <si>
    <t>Addressed</t>
  </si>
  <si>
    <t>This is via docker hub</t>
  </si>
  <si>
    <r>
      <t xml:space="preserve">build.nvidia.com </t>
    </r>
    <r>
      <rPr>
        <sz val="10"/>
        <color rgb="FF000000"/>
        <rFont val="Arial"/>
        <family val="2"/>
        <scheme val="minor"/>
      </rPr>
      <t>- Free endpoint live</t>
    </r>
  </si>
  <si>
    <t>Alex P / Manush</t>
  </si>
  <si>
    <t>Kris Bhethanabotla.</t>
  </si>
  <si>
    <t>https://nvidia.atlassian.net/wiki/spaces/PYTHON/pages/2564751559/Package+Repositories+PyPI+and+Artifactory</t>
  </si>
  <si>
    <r>
      <t xml:space="preserve">build.nvidia.com </t>
    </r>
    <r>
      <rPr>
        <sz val="10"/>
        <color rgb="FF000000"/>
        <rFont val="Arial"/>
        <family val="2"/>
        <scheme val="minor"/>
      </rPr>
      <t>- Playground live (v1 only)</t>
    </r>
  </si>
  <si>
    <r>
      <t xml:space="preserve">Nvidia PyPy / Conda Repo  </t>
    </r>
    <r>
      <rPr>
        <sz val="10"/>
        <color rgb="FF000000"/>
        <rFont val="Arial"/>
        <family val="2"/>
        <scheme val="minor"/>
      </rPr>
      <t>- Internal</t>
    </r>
  </si>
  <si>
    <t>Kitmaker / OSRB</t>
  </si>
  <si>
    <t>https://urm.nvidia.com/ui/repos/tree/General/nv-shared-pypi</t>
  </si>
  <si>
    <r>
      <rPr>
        <b/>
        <sz val="10"/>
        <color rgb="FF000000"/>
        <rFont val="Arial"/>
        <family val="2"/>
        <scheme val="minor"/>
      </rPr>
      <t>PyPy Public -</t>
    </r>
    <r>
      <rPr>
        <sz val="10"/>
        <color rgb="FF000000"/>
        <rFont val="Arial"/>
        <family val="2"/>
        <scheme val="minor"/>
      </rPr>
      <t xml:space="preserve"> Publish SDK to public PyPy as verified under </t>
    </r>
    <r>
      <rPr>
        <b/>
        <sz val="10"/>
        <color rgb="FF000000"/>
        <rFont val="Arial"/>
        <family val="2"/>
        <scheme val="minor"/>
      </rPr>
      <t>official NVIDIA org</t>
    </r>
  </si>
  <si>
    <t>Example: https://pypi.org/project/langchain-nvidia-ai-endpoints/</t>
  </si>
  <si>
    <r>
      <t xml:space="preserve">Andaconda </t>
    </r>
    <r>
      <rPr>
        <sz val="10"/>
        <color rgb="FF000000"/>
        <rFont val="Arial"/>
        <family val="2"/>
        <scheme val="minor"/>
      </rPr>
      <t>- Publish SDK to Anaconda as Verified Nvidia</t>
    </r>
  </si>
  <si>
    <t>https://anaconda.org/search?q=nvidia</t>
  </si>
  <si>
    <t>Documentation</t>
  </si>
  <si>
    <t>Supported Hardware Platform(s) - docs</t>
  </si>
  <si>
    <t>Effy</t>
  </si>
  <si>
    <t>See for reference at bottom: https://build.nvidia.com/nvidia/nvidia-cuopt/modelcard</t>
  </si>
  <si>
    <t>Supported Operating System(s) - docs</t>
  </si>
  <si>
    <t>Raw API Spec</t>
  </si>
  <si>
    <t>https://gitlab-master.nvidia.com/api-catalog/nim-structured-data/-/blob/main/nvidia/kumo-rfm/ux/openapi.yaml</t>
  </si>
  <si>
    <t>Supported kernal (python version and kernel dependencies) - docs</t>
  </si>
  <si>
    <t>Get rid of dot please</t>
  </si>
  <si>
    <t>Usage Guide &amp; Demo notebooks</t>
  </si>
  <si>
    <t>SDK / Model usage guide (v1 only)</t>
  </si>
  <si>
    <t>Ashwin</t>
  </si>
  <si>
    <t>need to figure out how to publish internally before GA</t>
  </si>
  <si>
    <t>https://github.com/kumo-ai/docs/tree/effyf/restructure-product-docs</t>
  </si>
  <si>
    <t>Demo notebook (select one only) updated to new SDK and "Nvidierized"</t>
  </si>
  <si>
    <t>OSRB / NSpect</t>
  </si>
  <si>
    <t xml:space="preserve">Model </t>
  </si>
  <si>
    <t>NIM OSRB Tracker (applicable for NIM container, Weights)</t>
  </si>
  <si>
    <t xml:space="preserve">Alex P / Aleksandar </t>
  </si>
  <si>
    <t xml:space="preserve">Ticket </t>
  </si>
  <si>
    <t xml:space="preserve">Tracker: </t>
  </si>
  <si>
    <t>https://nvidia.atlassian.net/wiki/spaces/NLLMS/pages/3649386904/Kumo-RFM+NIM+Downloadable+NIM+Compliance+Status</t>
  </si>
  <si>
    <t>Need to tripple check weights and GitHub covered by same OSRB as NIM</t>
  </si>
  <si>
    <t>GitHub repo</t>
  </si>
  <si>
    <t>Ramona?</t>
  </si>
  <si>
    <t>Can Catch Up</t>
  </si>
  <si>
    <t>code complete Aug 2nd</t>
  </si>
  <si>
    <t>Ticket:</t>
  </si>
  <si>
    <t>Need to file</t>
  </si>
  <si>
    <t>SDK OSRB (required for PyPi)</t>
  </si>
  <si>
    <t>SDK needs separate OSRB. Simpler via KitMaker</t>
  </si>
  <si>
    <t>Demo Notebooks</t>
  </si>
  <si>
    <t>Demo Notebooks (OSRB)</t>
  </si>
  <si>
    <t>added to SDK ticket</t>
  </si>
  <si>
    <t>https://nvbugspro.nvidia.com/bug/6470036?commentNumber=3</t>
  </si>
  <si>
    <t>AI Transparency Card</t>
  </si>
  <si>
    <t>Model Card</t>
  </si>
  <si>
    <t xml:space="preserve">need to update NGC url </t>
  </si>
  <si>
    <t>https://nspect.nvidia.com/actions/compliance/ai-card/3129/request</t>
  </si>
  <si>
    <t xml:space="preserve">cards need seperate nspect </t>
  </si>
  <si>
    <t>Container Card</t>
  </si>
  <si>
    <t>Branding / Marketing</t>
  </si>
  <si>
    <t>Branding</t>
  </si>
  <si>
    <t>Kumo Brand Name - Proposals ready</t>
  </si>
  <si>
    <t>Nicola Sessions</t>
  </si>
  <si>
    <t>Brand and logo required to finalize build</t>
  </si>
  <si>
    <t>Kumo Brand Logo</t>
  </si>
  <si>
    <t>Kumo Brand Name approved by legal / Trademarking</t>
  </si>
  <si>
    <t>Requires approx 5 dats need to start Asap</t>
  </si>
  <si>
    <t>Kumo Brand Name approved by Jenson</t>
  </si>
  <si>
    <t>Marketing</t>
  </si>
  <si>
    <t>Blog post / announcement</t>
  </si>
  <si>
    <t>GTC Berline Story &amp; approvals (with AIQ)</t>
  </si>
  <si>
    <t xml:space="preserve">Josh / William </t>
  </si>
  <si>
    <t>AIQ</t>
  </si>
  <si>
    <t>Engineering</t>
  </si>
  <si>
    <t>Kumo SDK &amp; Text 2 Pql Integrated into GSF</t>
  </si>
  <si>
    <t>Agent Integration proposals for AIQ + GSF integration and GSF only integrations</t>
  </si>
  <si>
    <t>Ongoing discussions re AIQ/GSF handoffs but our work is largely complete and moving to advisory only</t>
  </si>
  <si>
    <t>Security integration proposals for AIQ + GSF integration</t>
  </si>
  <si>
    <t>GSF has gaps to complete</t>
  </si>
  <si>
    <t>AIQ + Datascience agent scoping for v1 and vision for v2</t>
  </si>
  <si>
    <t>Need some additional alignment with GSF</t>
  </si>
  <si>
    <t>Joing AIQ + Kumo ISV / SI deck</t>
  </si>
  <si>
    <t>Josh / William</t>
  </si>
  <si>
    <t>Need to make updates for Cloudera discussion</t>
  </si>
  <si>
    <t>Working Docs:</t>
  </si>
  <si>
    <t>AIQ - Prediction Engineering (official working doc) - Josh section slide 17 onwars</t>
  </si>
  <si>
    <t>https://docs.google.com/presentation/d/1OxETjL72qXIDtd-Fn_3Wn867KZE56fy3CgL7fNUlWK8/edit?usp=sharing</t>
  </si>
  <si>
    <t>AIQ + Prediction ISV Brief deck (draft only)</t>
  </si>
  <si>
    <t>https://docs.google.com/presentation/d/1vtXLA0T00eXqYESz7jgtMdILYV1nAOeue18UVh-H8KQ/edit?usp=sharing</t>
  </si>
  <si>
    <t>AIQ + Kumo Berline Demo Story  (see slide 20 and 21)</t>
  </si>
  <si>
    <t>AIQ + Kumo Kick off discussion dock</t>
  </si>
  <si>
    <t>NVIDIA_KUMO_AIQ_Intro_Jun10.pptx</t>
  </si>
  <si>
    <t>Official Tracker for NIM / Model OSRB</t>
  </si>
  <si>
    <t>Ticket for NIM / Model OSRB</t>
  </si>
  <si>
    <t>Ticket for RFM SDK OSRB</t>
  </si>
  <si>
    <t>Ticket for Demo Notebook OSRB</t>
  </si>
  <si>
    <t>Other References</t>
  </si>
  <si>
    <t>Enterprise AI Factory Deck Offical Marketing Deck</t>
  </si>
  <si>
    <t>https://nvidia.sharepoint.com/:p:/r/sites/EGXProductMarketingTeamSite/Shared%20Documents/GPU%20Genius%20Content/Customer%20Decks/NVIDIA%20Enterprise%20AI%20Factory%20Customer%20Deck.pptx?d=w5c6e4c77cfe8475eadd8974d93437553&amp;csf=1&amp;web=1&amp;e=yFGDbc</t>
  </si>
  <si>
    <t>cuOpt official docs (as reference)</t>
  </si>
  <si>
    <t>https://docs.nvidia.com/cuopt/user-guide/latest/introduction.html</t>
  </si>
  <si>
    <t>cuOpt Build Model card (as reference)</t>
  </si>
  <si>
    <t>https://build.nvidia.com/nvidia/nvidia-cuopt/deploy</t>
  </si>
  <si>
    <t>cuOpt Official Marketing Stategy (as reference)</t>
  </si>
  <si>
    <t>https://docs.google.com/presentation/d/1oenrxye72whSu3c1NLkjAlo9ma4fV8SZ/edit?usp=sharing&amp;ouid=102485869400087361010&amp;rtpof=true&amp;sd=true</t>
  </si>
  <si>
    <t xml:space="preserve">PIC: Matthias; Team: </t>
  </si>
  <si>
    <t>Release KumoRFM-2 [ available in-house: Aug 1​; available publicly: Sept 15​
Open weights via Hugging Face​
SDK via GitHub​
NIM Factory for Structured Data​
Blueprint​
AI-Q Skill/MCP (GSF, Text2PQL)</t>
  </si>
  <si>
    <t>Phase/Milestone</t>
  </si>
  <si>
    <t>Task</t>
  </si>
  <si>
    <t>Assignee</t>
  </si>
  <si>
    <t>External Dependency</t>
  </si>
  <si>
    <t>Target Date</t>
  </si>
  <si>
    <t>Details</t>
  </si>
  <si>
    <t>Links</t>
  </si>
  <si>
    <t>Release StructuredFM(?) model zoo on GitHub</t>
  </si>
  <si>
    <t>This is an open-source repo to host/release a variety of foundation models for structured data; We are starting with TabICLv2 and KumoRFM-2. Then we also have a place to host our own TFM!</t>
  </si>
  <si>
    <t>Base</t>
  </si>
  <si>
    <t>July 3rd</t>
  </si>
  <si>
    <t>Cudf-based data processing</t>
  </si>
  <si>
    <t>Common pre-/post-processing building blocks</t>
  </si>
  <si>
    <t>Common attention modules</t>
  </si>
  <si>
    <t>Out-of-Memory Optimizations (Chunking, etc)</t>
  </si>
  <si>
    <t>Integrate TabICLv2</t>
  </si>
  <si>
    <t>July 10th</t>
  </si>
  <si>
    <t>Integrate RowEmbedding/ICLBlock</t>
  </si>
  <si>
    <t>Integrate Key/Value Cache</t>
  </si>
  <si>
    <t>Integrate ensembling</t>
  </si>
  <si>
    <t>Fp4/fp8 - Integrate on latest hardware</t>
  </si>
  <si>
    <t>Ensure parity to TabICLv2</t>
  </si>
  <si>
    <t>Integrate KumoRFM-2</t>
  </si>
  <si>
    <t>July 17th</t>
  </si>
  <si>
    <t>Migrate Classification/Regression model</t>
  </si>
  <si>
    <t>Migrate encoders and GNN pipeline</t>
  </si>
  <si>
    <t>Upload model weights to HuggingFace</t>
  </si>
  <si>
    <t>Improve robustness on large-scale subgraphs</t>
  </si>
  <si>
    <t>Explainability for RFM-2</t>
  </si>
  <si>
    <t>WIP</t>
  </si>
  <si>
    <t>ML/Abdullah</t>
  </si>
  <si>
    <t>July 31th</t>
  </si>
  <si>
    <t>Publish results on RelBench leaderboard</t>
  </si>
  <si>
    <t>Move benchmark scripts for reproducibility of published results</t>
  </si>
  <si>
    <t>Experience</t>
  </si>
  <si>
    <t>Provide common interface (in-memory only)</t>
  </si>
  <si>
    <t>Provide current SDK-based FeatureStore/GraphStore, swap out later</t>
  </si>
  <si>
    <t>Provide Skill</t>
  </si>
  <si>
    <t>Provide BYOD examples</t>
  </si>
  <si>
    <t>Others</t>
  </si>
  <si>
    <t>Add nullable support for common data types</t>
  </si>
  <si>
    <t>Batch ensembling API</t>
  </si>
  <si>
    <t>Text Integration</t>
  </si>
  <si>
    <t>CODE COMPLETE: 8/1</t>
  </si>
  <si>
    <t>Hugging Face Release (covered in previous)</t>
  </si>
  <si>
    <t>TESTING DONE (8/15)</t>
  </si>
  <si>
    <t>OSRB process for Github code (row 7)</t>
  </si>
  <si>
    <t>LAUNCH READINESS</t>
  </si>
  <si>
    <t>LAUNCH DATE (9/15)</t>
  </si>
  <si>
    <t>Release Tabular Foundation Model, including NIM, Blueprints, Benchmarks, HF+GitHub​;available in-house: Sep 1​; available publicly: Oct 15​</t>
  </si>
  <si>
    <t>Training</t>
  </si>
  <si>
    <t>Classification base model</t>
  </si>
  <si>
    <t>Valter/Jingang</t>
  </si>
  <si>
    <t>In Progress</t>
  </si>
  <si>
    <t>Regression base model</t>
  </si>
  <si>
    <t>Valter/Fede</t>
  </si>
  <si>
    <t>Training on longer context sizes</t>
  </si>
  <si>
    <t>Vedaant</t>
  </si>
  <si>
    <t>Scaling Up + multi-node training</t>
  </si>
  <si>
    <t>Data Generation</t>
  </si>
  <si>
    <t>Missing Values</t>
  </si>
  <si>
    <t>Valter</t>
  </si>
  <si>
    <t>Group Prior</t>
  </si>
  <si>
    <t>Fede</t>
  </si>
  <si>
    <t>OOD/Extrapolation/High Frequency</t>
  </si>
  <si>
    <t>Cedric</t>
  </si>
  <si>
    <t>Efficiency</t>
  </si>
  <si>
    <t>Model Compilation</t>
  </si>
  <si>
    <t>Test Time</t>
  </si>
  <si>
    <t>Text integration</t>
  </si>
  <si>
    <t>Martin</t>
  </si>
  <si>
    <t>Part of Open Model Repo</t>
  </si>
  <si>
    <t>Ensembling</t>
  </si>
  <si>
    <t>Pre-/post-processing</t>
  </si>
  <si>
    <t>TabArena Benchmark</t>
  </si>
  <si>
    <t>Other Benchmarks (TALENT, Syn. Many-Class, TabStAR, Strable)</t>
  </si>
  <si>
    <t>Gilberto Benchmark Integration</t>
  </si>
  <si>
    <t>Giba</t>
  </si>
  <si>
    <t>Forecasting Benchmarks</t>
  </si>
  <si>
    <t>Model Ablations</t>
  </si>
  <si>
    <t>Interface/SDK</t>
  </si>
  <si>
    <t>Blueprints + Examples</t>
  </si>
  <si>
    <t>Upload model/weights to HuggingFace</t>
  </si>
  <si>
    <t>Upload data generation pipeline to GitHub</t>
  </si>
  <si>
    <t>Upload model training/inference pipeline to GitHub</t>
  </si>
  <si>
    <t>CODE COMPLETE: 9/1</t>
  </si>
  <si>
    <t>Upload Benchmarking Code/Integrate to TabArena</t>
  </si>
  <si>
    <t>TESTING DONE (9/15)</t>
  </si>
  <si>
    <t>LAUNCH (10/15)</t>
  </si>
  <si>
    <t>Cloudera</t>
  </si>
  <si>
    <t>Attendees: Vanja, Patrick (from Cloudera)</t>
  </si>
  <si>
    <t>Need to help Joe with Fraud Blue Print One-Two pages</t>
  </si>
  <si>
    <t>Update Fraud Pitch deck with Joe + Disha + Me</t>
  </si>
  <si>
    <t>Prep for Dell team</t>
  </si>
  <si>
    <t>Kick off work to add support for SDM standard for nvTesseract models</t>
  </si>
  <si>
    <t>Get articles and research from Kumo.ai and place in new docs</t>
  </si>
  <si>
    <t>Work with Alexander and Leena</t>
  </si>
  <si>
    <t>Create timeline and details tracker for NIM 2 launch, incudes Tabular foundation model</t>
  </si>
  <si>
    <t>In progress</t>
  </si>
  <si>
    <t>Get input from Alexandria and Negar on how they deal with small PRs post OSRBs</t>
  </si>
  <si>
    <t>Update Oct 18th to EA Enterprise Licence</t>
  </si>
  <si>
    <t>Write script for formal Snowflake Live demo with Haowei</t>
  </si>
  <si>
    <t>Get linear</t>
  </si>
  <si>
    <t>July 15 milestones here: https://docs.google.com/document/d/1XCKhuo6lsbWHkj9MDFQICL6GrpfpkL5hUnxXGG_zgho/edit?tab=t.eii1633ozjq0</t>
  </si>
  <si>
    <t>Any partner or internal team may build the all of the containers from source (github) to run kumo locally</t>
  </si>
  <si>
    <t>Prebuilt containers also available at an internal staging location</t>
  </si>
  <si>
    <t>Timeline</t>
  </si>
  <si>
    <t>Contributors</t>
  </si>
  <si>
    <t>Ticket as applicable</t>
  </si>
  <si>
    <t>Support On-Prem Install</t>
  </si>
  <si>
    <t>Daniel</t>
  </si>
  <si>
    <t>DGX Spark by Jul 24</t>
  </si>
  <si>
    <t>Be installable by NVIDIA customers like NPCI</t>
  </si>
  <si>
    <t>SaaS Staging Envs</t>
  </si>
  <si>
    <t>Isaac, Ruthvika, Devan, Angela</t>
  </si>
  <si>
    <t>Tubi, Expedia, Discord, Reddit, Yieldmo, Doordash, Sothebys</t>
  </si>
  <si>
    <t>Customer Comms Start</t>
  </si>
  <si>
    <t>Disha</t>
  </si>
  <si>
    <t>Finalize messaging for all customers</t>
  </si>
  <si>
    <t>OSRB Done</t>
  </si>
  <si>
    <t>Grayson, Elvin</t>
  </si>
  <si>
    <t>Unblocking Stantander, Coinbase, Affirm, P&amp;G, etc</t>
  </si>
  <si>
    <t>https://nvbugspro.nvidia.com/bug/6441538</t>
  </si>
  <si>
    <t>Customer Comms Done</t>
  </si>
  <si>
    <t>All customers have agreed to transition plans</t>
  </si>
  <si>
    <t>Support Pip Install</t>
  </si>
  <si>
    <t>Elvin</t>
  </si>
  <si>
    <t>Code Complete &amp; Tested</t>
  </si>
  <si>
    <t>Support Databricks Notebook</t>
  </si>
  <si>
    <t>Support Snowflake Notebook</t>
  </si>
  <si>
    <t>Santander Installed</t>
  </si>
  <si>
    <t>DD + Wolt + Deliveroo</t>
  </si>
  <si>
    <t>TBD</t>
  </si>
  <si>
    <t>Tubi on Kumo 3</t>
  </si>
  <si>
    <t>Coinbase on Kumo 3</t>
  </si>
  <si>
    <t>Affirm on Kumo 3</t>
  </si>
  <si>
    <t>Discord on Kumo 3</t>
  </si>
  <si>
    <t>Reddit on Kumo 3</t>
  </si>
  <si>
    <t>Sotheby's on Kumo 3</t>
  </si>
  <si>
    <t>Yieldmo on Kumo 3</t>
  </si>
  <si>
    <t>Expedia on Kumo 3</t>
  </si>
  <si>
    <t>Source Code Published on GH</t>
  </si>
  <si>
    <t>Has dep on marketing + legal</t>
  </si>
  <si>
    <t>Communicate to open source customers</t>
  </si>
  <si>
    <t xml:space="preserve">Marketing </t>
  </si>
  <si>
    <t>Candidate for GTC Berline</t>
  </si>
  <si>
    <t>Code Complete EST</t>
  </si>
  <si>
    <t>GA Date</t>
  </si>
  <si>
    <t>Status Aug 6th</t>
  </si>
  <si>
    <t>Key updates</t>
  </si>
  <si>
    <t>Key risks / notes</t>
  </si>
  <si>
    <t>nspect link</t>
  </si>
  <si>
    <t>Nemotron Structured RFM</t>
  </si>
  <si>
    <t>NIM RFM v1 (Nemotron V1 uses KumoRFM v2)</t>
  </si>
  <si>
    <t>At Risk</t>
  </si>
  <si>
    <t>OSRB for NIM and SDK complete. Build page complete</t>
  </si>
  <si>
    <t>TabICL was not disclosed on OSRB (ticket updated). Last minute changes requested on SDK which may retrigger scans and QA. Discuss change to EA licence</t>
  </si>
  <si>
    <t>model nspect https://nspect.nvidia.com/review?id=NSPECT-B1D1-PT0E</t>
  </si>
  <si>
    <t>container nspect https://nspect.nvidia.com/review?id=NSPECT-ZP0R-U13D</t>
  </si>
  <si>
    <t>NIM RFM v2 (SDM base)</t>
  </si>
  <si>
    <t>This is the same model as v1 just ported to SDM. Awaiting SDM code complete. Expect quick OSRB turn around</t>
  </si>
  <si>
    <t>Need to add explainability</t>
  </si>
  <si>
    <t>need to register a new version under the programs above</t>
  </si>
  <si>
    <t xml:space="preserve">hugging face weights goes public with this version </t>
  </si>
  <si>
    <t>RFM v2.5 (No Tab ICL)</t>
  </si>
  <si>
    <t>?? Need update</t>
  </si>
  <si>
    <t>Nemotron TFM</t>
  </si>
  <si>
    <t>TFM v1  |  (NIM, hugging face, Repo with training, Build)</t>
  </si>
  <si>
    <t>September 1st</t>
  </si>
  <si>
    <t>Training recipe and generators</t>
  </si>
  <si>
    <t>Need to ok with Jure. Will need benchmarks and paper</t>
  </si>
  <si>
    <t xml:space="preserve">update and reuse this nspect </t>
  </si>
  <si>
    <t>OSRB / Nspect Tickets</t>
  </si>
  <si>
    <t>Build playground launch</t>
  </si>
  <si>
    <t>Effy to update build team on timeline and share example for playground</t>
  </si>
  <si>
    <t>Nemo Structured "Kumo" Training/Inference</t>
  </si>
  <si>
    <t>Kumo 3.0 - pre release version</t>
  </si>
  <si>
    <t>OSRB for code and SDK complete</t>
  </si>
  <si>
    <t>This is the container version pre "Kumo core", for delivery to Santandeer. Discussion re restarting OSRB and jumping straight to 3.1 (pip installable version)</t>
  </si>
  <si>
    <t>Kumo 3.1 - pip</t>
  </si>
  <si>
    <t>Agreed would cut EA Nspect ticket only for Snow/DBx release only</t>
  </si>
  <si>
    <t>nspect is a new EA version under kumo3</t>
  </si>
  <si>
    <t>SDM v1</t>
  </si>
  <si>
    <t>https://github.com/NVIDIA/structured-data-models/</t>
  </si>
  <si>
    <t>Aug 20th (for explainability)</t>
  </si>
  <si>
    <t>Code complete expected Aug 7. Expect 1 month for OSRB. Key input to NIM v2</t>
  </si>
  <si>
    <t xml:space="preserve">nspect </t>
  </si>
  <si>
    <t>osrb ticket</t>
  </si>
  <si>
    <t>Databricks</t>
  </si>
  <si>
    <t xml:space="preserve">&lt; check dates from earlier standup; later </t>
  </si>
  <si>
    <t>RFM on DBx</t>
  </si>
  <si>
    <t>NIM RFM v2 Marketplace Listing (model weights)</t>
  </si>
  <si>
    <t>PoC complete. Need new new supplemental Data Sharing Agreement. In process</t>
  </si>
  <si>
    <t>RFM v1 via pip install in Notebook (via SDM)</t>
  </si>
  <si>
    <t>SDK Optimizations (SM, auth, sampling)</t>
  </si>
  <si>
    <t>Genie Text-2-pql skills</t>
  </si>
  <si>
    <t>Stretch</t>
  </si>
  <si>
    <t>Kumo 3.1 - pip on Snowflake</t>
  </si>
  <si>
    <t>NSpect ticket for Snowflake EA</t>
  </si>
  <si>
    <t>Snowflake</t>
  </si>
  <si>
    <t>RFM on Snowflake</t>
  </si>
  <si>
    <t>RFM v1 via SPCS only (no app)</t>
  </si>
  <si>
    <t>RFM via pip install in Notebook</t>
  </si>
  <si>
    <t>Cortex Text-2-pql skills</t>
  </si>
  <si>
    <t>&lt; higher priority for Snow</t>
  </si>
  <si>
    <t>Website</t>
  </si>
  <si>
    <t>Library naming</t>
  </si>
  <si>
    <t>Naming options confirmed with marketing</t>
  </si>
  <si>
    <t>Naming options confirmed with JJH</t>
  </si>
  <si>
    <t>Draft Script for GTC Berlin</t>
  </si>
  <si>
    <t>Columns:</t>
  </si>
  <si>
    <t>Draft</t>
  </si>
  <si>
    <t xml:space="preserve">testing complete </t>
  </si>
  <si>
    <t xml:space="preserve">... osrb... nspect... get from JP, AP, JO . Create subtasks with PICs and dates.. etc </t>
  </si>
  <si>
    <t>Website Ideation</t>
  </si>
  <si>
    <t>Website final design</t>
  </si>
  <si>
    <t>Blog(s) for launch</t>
  </si>
  <si>
    <t xml:space="preserve">Capture ticket numbers, etc. </t>
  </si>
  <si>
    <t>3.0 &amp; 3.1 line items&gt; Zack and Joseph</t>
  </si>
  <si>
    <t xml:space="preserve">Zack and Matthias first to fill as much </t>
  </si>
  <si>
    <t xml:space="preserve">Matthias &gt; TFM, RFM (code complete dates)... Effy and AP for dates after that </t>
  </si>
  <si>
    <t>0. Update RFM NIM v1 OSRB ticket to discuss TabICL dependency</t>
  </si>
  <si>
    <t>1. start OSRB for SDM repo</t>
  </si>
  <si>
    <t>2. start NSpect ticket for Snowflake EA special Kumo 3.0 pip install build with Howai -- poke Howei to make sure he is ready</t>
  </si>
  <si>
    <t>3.  Check in with Alex has she started NIM v2 for RFM (using the SDM base)</t>
  </si>
  <si>
    <t>4. Check in with Alex &amp; Matthias will RFM NIM v2 get rid of TabICL depency if not when will we have an RFM with no dependency (when is RFM 2.5??? -- cos this was meant to be NIM v2. Will this be a NIM v3 and when can we start the OSRB?)</t>
  </si>
  <si>
    <t>PIC: Alex. Team: Alex, Manush, Matthias, Josh, Said</t>
  </si>
  <si>
    <t xml:space="preserve">Core Infra needed for both the following Top 5: (a) Release KumoRFM-2 [ available in-house: Aug 1​; available publicly: Sept 15​ (b) Release Tabular Foundation Model ​; available in-house: Sep 1​; available publicly: Oct 15​
</t>
  </si>
  <si>
    <t>External Dependency (person/team)</t>
  </si>
  <si>
    <t>Development</t>
  </si>
  <si>
    <t>Finalize API design</t>
  </si>
  <si>
    <t>NIM container implementation</t>
  </si>
  <si>
    <t>Alex Porter</t>
  </si>
  <si>
    <t>6/8</t>
  </si>
  <si>
    <t>Kumo RFM+TabICL API Proposal</t>
  </si>
  <si>
    <t>first step in the full NVIDIA API process</t>
  </si>
  <si>
    <t>API Docs</t>
  </si>
  <si>
    <t xml:space="preserve">PRD </t>
  </si>
  <si>
    <t>UX/documentation</t>
  </si>
  <si>
    <t>Alex Porter, Said Aram</t>
  </si>
  <si>
    <t>6/12</t>
  </si>
  <si>
    <t>Need formal PRD for QA team (and in general but that's the first we've been asked)</t>
  </si>
  <si>
    <t>Need Josh help on the PRD. If Josh is too packed before DTO, Said take over.</t>
  </si>
  <si>
    <t>Pilot/POC NIM container for TabICL</t>
  </si>
  <si>
    <t>Manush Murali US</t>
  </si>
  <si>
    <t>6/16</t>
  </si>
  <si>
    <t xml:space="preserve">No standardized scaffolding, just working docker container </t>
  </si>
  <si>
    <t>Unoptimized Version</t>
  </si>
  <si>
    <t>Gitlab Container</t>
  </si>
  <si>
    <t>Pilot/POC RFM NIM container</t>
  </si>
  <si>
    <t>No standardized scaffolding, just working docker container</t>
  </si>
  <si>
    <t>Optimize RFM implementation</t>
  </si>
  <si>
    <t>7/7</t>
  </si>
  <si>
    <t>solidify API spec in Gitlab + pass validation pipelines</t>
  </si>
  <si>
    <t>Distribution pathway</t>
  </si>
  <si>
    <t>6/26</t>
  </si>
  <si>
    <t>Support in nim_builder and nimtools</t>
  </si>
  <si>
    <t>7/2</t>
  </si>
  <si>
    <t>Submit changes for NIM type to actual nim_builder/nimtools code repos</t>
  </si>
  <si>
    <t>Integrate tfm-serving to RFM</t>
  </si>
  <si>
    <t>6/18</t>
  </si>
  <si>
    <t>Shared runtime (tfm-serving) for TFM NIMs</t>
  </si>
  <si>
    <t>Pydantic models, shared validation logic, Arrow decoding, response formatting. Model-specific adapters</t>
  </si>
  <si>
    <t>Gitlab Package</t>
  </si>
  <si>
    <t>Container build system</t>
  </si>
  <si>
    <t>Category-specific build system for shared container + model-specific adapter logic</t>
  </si>
  <si>
    <t>Optimized TabICL implementation (not a deliverable only for learning)</t>
  </si>
  <si>
    <t>Followup improves to tabICL - will start the release/QA process on the early init version but then update with this</t>
  </si>
  <si>
    <t>TabICL Optimization Report</t>
  </si>
  <si>
    <t>Gitlab Repository</t>
  </si>
  <si>
    <t>TabICL/Single table SDK</t>
  </si>
  <si>
    <t>7/10</t>
  </si>
  <si>
    <t xml:space="preserve">RFM SDK </t>
  </si>
  <si>
    <t>Alan Krumholz, Isaac Gutierrez</t>
  </si>
  <si>
    <t>kumoai[rfm-nim] version of kumo-sdk and a tabICL demo client</t>
  </si>
  <si>
    <t>Same as current Kumo SDK spec.Furure versions will include Database connectors. Need Alex+Matthias discussion</t>
  </si>
  <si>
    <t>Benchmarking: model performance</t>
  </si>
  <si>
    <t>7/24</t>
  </si>
  <si>
    <t>initial benchmarking for QA done; todo is reproducing rfm paper</t>
  </si>
  <si>
    <t>Benchmarking: throughput, latency, GPU SKU capacity</t>
  </si>
  <si>
    <t>Ruthvika Kosuri</t>
  </si>
  <si>
    <t>https://docs.google.com/spreadsheets/d/1qCkAP6ndJ9f_3oUolVkUbLteP_POpkl5YneHCok2jZY/edit?gid=1288133001#gid=1288133001</t>
  </si>
  <si>
    <t>Baseline TabICL Deployment</t>
  </si>
  <si>
    <t>Deferred for now</t>
  </si>
  <si>
    <t>CODE COMPLETE: 7/10</t>
  </si>
  <si>
    <t>INTERNAL LAUNCH READINESS</t>
  </si>
  <si>
    <t>NGC org for containers</t>
  </si>
  <si>
    <t xml:space="preserve">using nvstaging for now but we also own "Structured Data &amp; Graph Models" with teams for nims and kumo3 </t>
  </si>
  <si>
    <t>Submit API for onboarding/approval</t>
  </si>
  <si>
    <t>https://gitlab-master.nvidia.com/api-standards/api-registry/pipeline/publication#onboarding</t>
  </si>
  <si>
    <t>Will have Text2PQL. Will resemble current playground</t>
  </si>
  <si>
    <t xml:space="preserve">request to publish on inference.nvidia.com </t>
  </si>
  <si>
    <t>Said Aram</t>
  </si>
  <si>
    <t>Deep Debroy</t>
  </si>
  <si>
    <t>7/1</t>
  </si>
  <si>
    <t>submit https://inference.nvidia.com/model-requests with justification; then get Manush and Disha to have other stakeholders upvote it</t>
  </si>
  <si>
    <t>Submit requested SKU, benchmarking perf etc for NIMs to inference.nvidia.com</t>
  </si>
  <si>
    <t>7/8</t>
  </si>
  <si>
    <t>submit NIM container to inference team</t>
  </si>
  <si>
    <t>7/17</t>
  </si>
  <si>
    <t>TESTING DONE (7/24). Build.NVIDIA.com (internal release)</t>
  </si>
  <si>
    <t>EXTERNAL LAUNCH READINESS</t>
  </si>
  <si>
    <t>Build web app - frontend  - TabICL/single table UX</t>
  </si>
  <si>
    <t>build.nvidia release</t>
  </si>
  <si>
    <t>Build web app - frontend for RFM (multitable)</t>
  </si>
  <si>
    <t>Effy Fang, Manush</t>
  </si>
  <si>
    <t>Build backend (connect to NIM?)</t>
  </si>
  <si>
    <t>Hugging face RFM weights</t>
  </si>
  <si>
    <t>Josh P</t>
  </si>
  <si>
    <t>OSRB process</t>
  </si>
  <si>
    <t>A lot of this overlaps what Kirill is doing in the NIMs track</t>
  </si>
  <si>
    <t>SWQA Go launch</t>
  </si>
  <si>
    <t xml:space="preserve">contact = John Liu </t>
  </si>
  <si>
    <t>Share initial containers with Compliance</t>
  </si>
  <si>
    <t>Kirill Buryak</t>
  </si>
  <si>
    <t>https://nvaiinfa.aha.io/epics/PMS-E-2371?active_tab=related</t>
  </si>
  <si>
    <t>Put actual NSpect IDs on Aha</t>
  </si>
  <si>
    <t>Marketing Language for build.nvidia.com</t>
  </si>
  <si>
    <t>Key is do not have dependencies on other open source with bad licenses eg., BSD, no CVEs etc etc</t>
  </si>
  <si>
    <t>Josh Notes</t>
  </si>
  <si>
    <t>Isaac and Ruthvica (Allen as Manager) working on RFM only SDK. Need to also determine licence?</t>
  </si>
  <si>
    <t xml:space="preserve">&lt;- No process yet on how to release. </t>
  </si>
  <si>
    <t>For Build playground - will hard code PQL options -- adding SDK to complex for V1. Likely will do so as follow up V2</t>
  </si>
  <si>
    <t>Meeting happening Friday. Isaac may be person we insert. Need to talk with Isaac with some oversight (Effy --&gt; Make Effy Point of Contact)</t>
  </si>
  <si>
    <t>Kumo-tabular-launch-models (design review tomorrow)</t>
  </si>
  <si>
    <t>Look at palming off OSRM to Effy as well</t>
  </si>
  <si>
    <t>Currently purely RFM NIM --&gt; Single table NIM may come in soon (need to check with Matthias)</t>
  </si>
  <si>
    <t>Build endpoint teams release cycle - they have 8/13 canary deployment, 8/18 production live deploy. Everything works back from there</t>
  </si>
  <si>
    <t xml:space="preserve">As soon as we have QA go -- we can </t>
  </si>
  <si>
    <t>Two Tracks: Build Endpoint (Nvidia hosted demo UI); NGC actually downloadable NIM; Hugging face - two .pt files … just the weights not the NIM;  Also Training data generators and code on Github</t>
  </si>
  <si>
    <t>Right now NIM is packaged with Weights; In theory we can make NIM without the weights and the weigjts can be pulled live from NGC or Hugging face (applicable to frewquent weight updates)  Our NIM will pull the same weigjts fron NGC not Hugging Face</t>
  </si>
  <si>
    <t>Some NIM pull weights from Hugging Face</t>
  </si>
  <si>
    <t>Demo for Jensen</t>
  </si>
  <si>
    <t>Slide with Tab Arena Benchmark</t>
  </si>
  <si>
    <t>Slide with Min's tradeoff on GTM</t>
  </si>
  <si>
    <t>Slide with Disha's use case discovery</t>
  </si>
  <si>
    <t>LAUNCH MATRIX</t>
  </si>
  <si>
    <t>RELEASE</t>
  </si>
  <si>
    <t>CODE FREEZE COMPLETE</t>
  </si>
  <si>
    <t>EA (IF APPLICABLE)</t>
  </si>
  <si>
    <t>GA</t>
  </si>
  <si>
    <t>Program</t>
  </si>
  <si>
    <t>Release</t>
  </si>
  <si>
    <t>Nemotron RFM Model</t>
  </si>
  <si>
    <t>KumoRFM-2 model + open repo (SDM V1)</t>
  </si>
  <si>
    <t>Matthias  (Alex, Abdullah)</t>
  </si>
  <si>
    <t xml:space="preserve">The underlying model release: open weights on Hugging Face, SDK on GitHub, model zoo repo. Base work is done — cuDF processing, TabICLv2 integration, KumoRFM-2 migration and the Hugging Face weight upload all landed. Still open: explainability, RelArena benchmarking. OSRB on the GitHub code has still not been filed, which gates the public release. Blocker: We want to integrate Nemotron Tabular there, and I assume we want to announce this together? How shall we do this? The repo is done, but we would need to have a second fast-follow up release with Nemotron Tabular. </t>
  </si>
  <si>
    <t>Nemotron RFM NIM</t>
  </si>
  <si>
    <t>NIM RFM v1</t>
  </si>
  <si>
    <t>Alex / Matthias</t>
  </si>
  <si>
    <t>Only blocker is final naming - legal approval is complete including all nspect and osrb tasks</t>
  </si>
  <si>
    <t>Nemotron Client</t>
  </si>
  <si>
    <t>SDK for Structured Model NIMS</t>
  </si>
  <si>
    <t>Only blocker is final naming - legal approval is complete including all nspect and osrb tasks. Needed for AIQ, Snowflake, &amp; Databricks RFM integration</t>
  </si>
  <si>
    <t>Repo: github.com/NVIDIA/nemotron-structured-client</t>
  </si>
  <si>
    <t>NIM RFM v2  (SDM base)</t>
  </si>
  <si>
    <t>New version still to be registered under the RFM programs</t>
  </si>
  <si>
    <t>RFM v2.5  (no TabICL)</t>
  </si>
  <si>
    <t>NIM RFM v2.5  (no TabICL)</t>
  </si>
  <si>
    <t>Nemotron TFM Model</t>
  </si>
  <si>
    <t>TFM v1</t>
  </si>
  <si>
    <t>Matthias / Jingang</t>
  </si>
  <si>
    <t>Currently training a scaled-up version which will finish in about a week. But we encounter training instabiltiy issue at the moment. We're doing our best to solve it. We've located the problem, but we need to come up with a good solution. The current checkpoints we have are quite good, but not yet #1. Final integration into SDM has started + Benchmarking work. This will land early September, but probably with a few days of delay wrt initial timeline.</t>
  </si>
  <si>
    <t>Nemotron TFM NIM</t>
  </si>
  <si>
    <t>NIM TFM v1</t>
  </si>
  <si>
    <t>Kumo 3.0  — container</t>
  </si>
  <si>
    <t>Zack / Joseph / Daniel</t>
  </si>
  <si>
    <t>Oct 22 (tentative)</t>
  </si>
  <si>
    <t>No formal code complete or testing date was ever set for 3.0 — Zack and Joseph need to supply them. OSRB cleared 7-Aug, which unblocks Santander, Coinbase, Affirm and P&amp;G. On-prem install (DGX Spark) landed 24-Jul and SaaS staging envs 31-Jul. Planned GA of 15-Aug sits before the 31-Aug Santander install, so the sequence needs fixing. Open question: restart OSRB and jump straight to 3.1?</t>
  </si>
  <si>
    <r>
      <rPr>
        <u/>
        <sz val="10"/>
        <color rgb="FF1155CC"/>
        <rFont val="Calibri"/>
        <family val="2"/>
      </rPr>
      <t>https://nvbugspro.nvidia.com/bug/6441538</t>
    </r>
    <r>
      <rPr>
        <sz val="10"/>
        <color rgb="FF000000"/>
        <rFont val="Calibri"/>
        <family val="2"/>
      </rPr>
      <t xml:space="preserve"> (Prev)
https://nvbugspro.nvidia.com/bug/6619129 (Current)</t>
    </r>
  </si>
  <si>
    <t>Kumo 3.1  — pip</t>
  </si>
  <si>
    <t>Zack / Elvin / Haowei</t>
  </si>
  <si>
    <t>'Support pip install' was promised 24-Jul as both code complete and tested, but was never marked done — Elvin to confirm whether it actually landed. The EA NSpect ticket was agreed for the Snowflake and Databricks release only, and both dependent tickets are still unfiled.</t>
  </si>
  <si>
    <t>PLR: https://nspect.nvidia.com/actions/compliance/legal/software/1774/request
export compliance: https://nvbugspro.nvidia.com/bug/6649367</t>
  </si>
  <si>
    <t>snowflake</t>
  </si>
  <si>
    <t>Kumo 3 source on GitHub</t>
  </si>
  <si>
    <t>Zack / Joseph</t>
  </si>
  <si>
    <t>Waiting on marketing and legal sign-off before the source can be published. Disha communicates to open-source customers on the same date.</t>
  </si>
  <si>
    <t>KumoRFM huggingface model weights</t>
  </si>
  <si>
    <t>Ramona</t>
  </si>
  <si>
    <t>Duplicate or row 4?</t>
  </si>
  <si>
    <t>RFM on Databricks</t>
  </si>
  <si>
    <t>Josh / Adi / Elvin</t>
  </si>
  <si>
    <t>blocked by row 4</t>
  </si>
  <si>
    <t>Legal is the blocker, not engineering: needs a supplemental Data Sharing Agreement plus NVIDIA legal review of the Data Partner Agreement. PoC is complete and the MLFlow Marketplace listing has a publish ETA of 26-Aug (Adi with Maria Pere-Perez). RFM v1 pip-in-notebook is code complete and tested 31-Aug. EA is 'mid-December per Zack' which cannot follow a 28-Sep GA — needs a real date. Genie Text-2-PQL is a stretch goal.</t>
  </si>
  <si>
    <t>Mid-Dec per Zack — needs a real date</t>
  </si>
  <si>
    <t>Kumo 3.1 on Databricks</t>
  </si>
  <si>
    <t>Adi / Elvin</t>
  </si>
  <si>
    <t>'Support Databricks notebook' is due code complete and tested 31-Aug. The NSpect EA ticket has still not been filed, and no GA date has been set.</t>
  </si>
  <si>
    <t>EA NSpect — not yet filed</t>
  </si>
  <si>
    <t>Manush / Adi</t>
  </si>
  <si>
    <t>Scope is the open question — the standup said 'RFM not needed' for Snowflake, so confirm before more effort goes in. This workstream is higher priority than Databricks. RFM v1 runs via SPCS only, no app. Manush and Adi still owe publishing dates. Cortex Text-2-PQL is a stretch goal.</t>
  </si>
  <si>
    <t>Kumo 3.1 on Snowflake</t>
  </si>
  <si>
    <t>Highest-priority Snowflake item. 'Support Snowflake notebook' is due code complete and tested 31-Aug. The NSpect ticket for the special Kumo 3.1 pip-install EA build has been filed. PLR opened with Kevin</t>
  </si>
  <si>
    <t>EA NSpect https://nspect.nvidia.com/registration/programs/22455/versions/76584</t>
  </si>
  <si>
    <t>https://nspect.nvidia.com/actions/compliance/legal/software/1774/request</t>
  </si>
  <si>
    <t>ALL TICKETS</t>
  </si>
  <si>
    <t>What it covers</t>
  </si>
  <si>
    <t>System</t>
  </si>
  <si>
    <t>Ticket / ID</t>
  </si>
  <si>
    <t>KumoRFM-2 model</t>
  </si>
  <si>
    <t>OSRB for the GitHub model-zoo code</t>
  </si>
  <si>
    <t>nvbug</t>
  </si>
  <si>
    <t>—</t>
  </si>
  <si>
    <t>NOT FILED</t>
  </si>
  <si>
    <t>NIM + model OSRB</t>
  </si>
  <si>
    <t>Reopened — TabICL not disclosed</t>
  </si>
  <si>
    <t>SDK OSRB (required for PyPI)</t>
  </si>
  <si>
    <t>Filed, in review</t>
  </si>
  <si>
    <t>Demo notebooks OSRB</t>
  </si>
  <si>
    <t>6470036 comment 3</t>
  </si>
  <si>
    <t>Model NSpect</t>
  </si>
  <si>
    <t>NSpect</t>
  </si>
  <si>
    <t>NSPECT-B1D1-PT0E</t>
  </si>
  <si>
    <t>Registered</t>
  </si>
  <si>
    <t>Container NSpect</t>
  </si>
  <si>
    <t>NSPECT-ZP0R-U13D</t>
  </si>
  <si>
    <t>AI transparency card (model + container)</t>
  </si>
  <si>
    <t>AI card 3129</t>
  </si>
  <si>
    <t>Requested</t>
  </si>
  <si>
    <t>Downloadable NIM compliance tracker</t>
  </si>
  <si>
    <t>Confluence</t>
  </si>
  <si>
    <t>NLLMS space</t>
  </si>
  <si>
    <t>Reference</t>
  </si>
  <si>
    <t>NIM RFM v2</t>
  </si>
  <si>
    <t>Referenced bug</t>
  </si>
  <si>
    <t>Open</t>
  </si>
  <si>
    <t>new version</t>
  </si>
  <si>
    <t>NOT FILED — register under RFM programs</t>
  </si>
  <si>
    <t>NSpect (reuse existing)</t>
  </si>
  <si>
    <t>NSPECT-I0E0-OIXC</t>
  </si>
  <si>
    <t>Kumo 3.0</t>
  </si>
  <si>
    <t>Resolved 7-Aug</t>
  </si>
  <si>
    <t>NSPECT-1HFF-6ET2</t>
  </si>
  <si>
    <t>Kumo 3.1</t>
  </si>
  <si>
    <t>NSpect EA version (kumo3 programme 22455)</t>
  </si>
  <si>
    <t>v76584</t>
  </si>
  <si>
    <t>NSpect EA — special Kumo 3.0 pip-install build</t>
  </si>
  <si>
    <t>NSpect EA</t>
  </si>
  <si>
    <t>Repo OSRB</t>
  </si>
  <si>
    <t>Filed — OSRB not started, allow ~1 month</t>
  </si>
  <si>
    <t>Source repository</t>
  </si>
  <si>
    <t>structured-data-models</t>
  </si>
  <si>
    <t>Build playground + docs</t>
  </si>
  <si>
    <t>Package repositories — PyPI and Artifactory</t>
  </si>
  <si>
    <t>PYTHON space</t>
  </si>
  <si>
    <t>Enablement material</t>
  </si>
  <si>
    <t>FSI SA enablement deck</t>
  </si>
  <si>
    <t>https://nvidia.sharepoint.com/:p:/r/sites/Kumo/_layouts/15/Doc.aspx?sourcedoc=%7BD9046AC3-8AFE-4E6B-96D2-BBE11AD75771%7D&amp;file=NVIDIA%20Kumo%20Enablement%20Deck.pptx&amp;action=edit&amp;mobileredirect=true&amp;previoussessionid=17cd4ed9-ecf9-3212-6356-25329a91f47d</t>
  </si>
  <si>
    <t>15 Oct, 2026</t>
  </si>
  <si>
    <t>FSI SAs</t>
  </si>
  <si>
    <t>SAE tech Transfer deck</t>
  </si>
  <si>
    <t>Asset</t>
  </si>
  <si>
    <t>Urgency</t>
  </si>
  <si>
    <t>General Kumo Overview Deck</t>
  </si>
  <si>
    <t>FSI Kumo Overview Deck</t>
  </si>
  <si>
    <t>Kumo Engine Demo notebook</t>
  </si>
  <si>
    <t>SDM Library Demo notebook</t>
  </si>
  <si>
    <t>P0</t>
  </si>
  <si>
    <t>Tubi presentation</t>
  </si>
  <si>
    <t>* TFM Training Data/Recipe</t>
  </si>
  <si>
    <t>Kumo Relational NIM v1.0​</t>
  </si>
  <si>
    <t>Structured Data Model Client v1.0​</t>
  </si>
  <si>
    <t>Kumo Relational Model v1.1 Weights on Hugging Face​</t>
  </si>
  <si>
    <t xml:space="preserve"> Kumo Tabular Model v1.0 Weights on Hugging Face​</t>
  </si>
  <si>
    <t>Kumo 3 \ Kumo Engine v1.0.0 ​</t>
  </si>
  <si>
    <t>Rebranding for Kumo Anomaly 1.0. and Kumo Forecast 1.2​</t>
  </si>
  <si>
    <t>  * Kumo Relational v1.1​</t>
  </si>
  <si>
    <t>  * Kumo Tabular v.10​</t>
  </si>
  <si>
    <t>Release NAME</t>
  </si>
  <si>
    <t>LINKS</t>
  </si>
  <si>
    <t>Released</t>
  </si>
  <si>
    <t>end of 10 - 26 start of 11 - 26</t>
  </si>
  <si>
    <t>end of 10 - 26</t>
  </si>
  <si>
    <t>10/22 2026</t>
  </si>
  <si>
    <t>Release Process not Started Yet</t>
  </si>
  <si>
    <t>OSRB under review</t>
  </si>
  <si>
    <t>OSRB final step before Release</t>
  </si>
  <si>
    <t>/</t>
  </si>
  <si>
    <t>Structured Data Model Library v0.2​</t>
  </si>
  <si>
    <t>Structured Data Model Client v1.0 ​</t>
  </si>
  <si>
    <t>* Structured Data Model  Library 0.3​</t>
  </si>
  <si>
    <t>Structured Data Model  Library 0.1 on Github​</t>
  </si>
  <si>
    <t>Kumo Relational Client v1.0​</t>
  </si>
  <si>
    <t>https://docs.nvidia.com/sdgm/about-nvidia-kumo/overview</t>
  </si>
  <si>
    <t>Kumo Main doc</t>
  </si>
  <si>
    <t>https://docs.nvidia.com/sdgm/kumo-engine/get-started-with-kumo-engine/overview</t>
  </si>
  <si>
    <t>https://nvidia-staging-sdgm.docs.buildwithfern.com/sdgm/about-nvidia-kumo/overview</t>
  </si>
  <si>
    <t>Cedric / Josh on use cases</t>
  </si>
  <si>
    <t>Kumo Agent v1.0</t>
  </si>
  <si>
    <t>NIM is ready and tested, just waiting on PLC to finish</t>
  </si>
  <si>
    <t>same as above (kumo-engine)</t>
  </si>
  <si>
    <t>Released as part of v1 sdm-client release</t>
  </si>
  <si>
    <t>early November</t>
  </si>
  <si>
    <t>Kumo-TS v1.0.1 (minor release)</t>
  </si>
  <si>
    <t>mid November</t>
  </si>
  <si>
    <t>NIM for Kumo Anomaly via SDM</t>
  </si>
  <si>
    <t>NIM for Kumo Forecast via SDM</t>
  </si>
  <si>
    <t>Release Process not Started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</si>
</sst>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
    <numFmt numFmtId="165" formatCode="ddd\-dd\-mmm\-yy"/>
  </numFmts>
  <fonts count="78" x14ac:knownFonts="1">
    <font>
      <sz val="10"/>
      <color rgb="FF000000"/>
      <name val="Arial"/>
      <scheme val="minor"/>
    </font>
    <font>
      <sz val="10"/>
      <color theme="1"/>
      <name val="Arial"/>
      <family val="2"/>
      <scheme val="minor"/>
    </font>
    <font>
      <u/>
      <sz val="10"/>
      <color theme="1"/>
      <name val="Arial"/>
      <family val="2"/>
      <scheme val="minor"/>
    </font>
    <font>
      <u/>
      <sz val="10"/>
      <color rgb="FF0000FF"/>
      <name val="Roboto"/>
    </font>
    <font>
      <u/>
      <sz val="10"/>
      <color theme="10"/>
      <name val="Arial"/>
      <family val="2"/>
      <scheme val="minor"/>
    </font>
    <font>
      <b/>
      <sz val="10"/>
      <color theme="0"/>
      <name val="Arial"/>
      <family val="2"/>
      <scheme val="minor"/>
    </font>
    <font>
      <sz val="10"/>
      <color theme="0"/>
      <name val="Arial"/>
      <family val="2"/>
      <scheme val="minor"/>
    </font>
    <font>
      <b/>
      <sz val="12"/>
      <color rgb="FF435E91"/>
      <name val="Arial"/>
      <family val="2"/>
      <scheme val="minor"/>
    </font>
    <font>
      <b/>
      <sz val="11"/>
      <color rgb="FF435E91"/>
      <name val="Arial"/>
      <family val="2"/>
      <scheme val="minor"/>
    </font>
    <font>
      <b/>
      <sz val="10"/>
      <color rgb="FF000000"/>
      <name val="Arial"/>
      <family val="2"/>
      <scheme val="minor"/>
    </font>
    <font>
      <b/>
      <sz val="18"/>
      <color rgb="FF000000"/>
      <name val="Arial"/>
      <family val="2"/>
      <scheme val="minor"/>
    </font>
    <font>
      <sz val="24"/>
      <color rgb="FF000000"/>
      <name val="Arial"/>
      <family val="2"/>
      <scheme val="minor"/>
    </font>
    <font>
      <sz val="24"/>
      <color theme="0"/>
      <name val="Arial"/>
      <family val="2"/>
      <scheme val="minor"/>
    </font>
    <font>
      <sz val="10"/>
      <color rgb="FF000000"/>
      <name val="Arial"/>
      <family val="2"/>
      <scheme val="minor"/>
    </font>
    <font>
      <sz val="10"/>
      <color rgb="FF000000"/>
      <name val="Arial"/>
      <family val="2"/>
    </font>
    <font>
      <i/>
      <sz val="10"/>
      <color rgb="FF000000"/>
      <name val="Arial"/>
      <family val="2"/>
      <scheme val="minor"/>
    </font>
    <font>
      <b/>
      <sz val="10"/>
      <color theme="1"/>
      <name val="Courier New"/>
      <family val="1"/>
    </font>
    <font>
      <sz val="28"/>
      <color rgb="FF292A2E"/>
      <name val="Helvetica Neue"/>
      <family val="2"/>
    </font>
    <font>
      <sz val="12"/>
      <color rgb="FF505258"/>
      <name val="Helvetica Neue"/>
      <family val="2"/>
    </font>
    <font>
      <sz val="10"/>
      <color rgb="FFFF0000"/>
      <name val="Arial"/>
      <family val="2"/>
      <scheme val="minor"/>
    </font>
    <font>
      <b/>
      <sz val="10"/>
      <color rgb="FF000000"/>
      <name val="Arial"/>
      <family val="2"/>
    </font>
    <font>
      <sz val="12"/>
      <color rgb="FF212121"/>
      <name val="Aptos"/>
    </font>
    <font>
      <b/>
      <sz val="10"/>
      <color theme="5"/>
      <name val="Arial"/>
      <family val="2"/>
      <scheme val="minor"/>
    </font>
    <font>
      <b/>
      <sz val="10"/>
      <color theme="1"/>
      <name val="Arial"/>
      <family val="2"/>
      <scheme val="minor"/>
    </font>
    <font>
      <sz val="10"/>
      <color theme="5"/>
      <name val="Arial"/>
      <family val="2"/>
      <scheme val="minor"/>
    </font>
    <font>
      <sz val="10"/>
      <color rgb="FF1D1C1D"/>
      <name val="Arial"/>
      <family val="2"/>
      <scheme val="minor"/>
    </font>
    <font>
      <b/>
      <sz val="12"/>
      <color theme="0"/>
      <name val="Arial"/>
      <family val="2"/>
      <scheme val="minor"/>
    </font>
    <font>
      <b/>
      <sz val="10"/>
      <color rgb="FFFFFFFF"/>
      <name val="Calibri"/>
      <family val="2"/>
    </font>
    <font>
      <b/>
      <sz val="10"/>
      <color rgb="FF1F2937"/>
      <name val="Calibri"/>
      <family val="2"/>
    </font>
    <font>
      <sz val="10"/>
      <name val="Calibri"/>
      <family val="2"/>
    </font>
    <font>
      <b/>
      <sz val="10"/>
      <color rgb="FF9C0006"/>
      <name val="Calibri"/>
      <family val="2"/>
    </font>
    <font>
      <i/>
      <sz val="10"/>
      <color rgb="FF5A5A5A"/>
      <name val="Calibri"/>
      <family val="2"/>
    </font>
    <font>
      <b/>
      <sz val="10"/>
      <name val="Calibri"/>
      <family val="2"/>
    </font>
    <font>
      <b/>
      <sz val="14"/>
      <color rgb="FFFFFFFF"/>
      <name val="Calibri"/>
      <family val="2"/>
    </font>
    <font>
      <sz val="10"/>
      <color rgb="FF0B6623"/>
      <name val="Calibri"/>
      <family val="2"/>
    </font>
    <font>
      <b/>
      <i/>
      <sz val="10"/>
      <color rgb="FF5A5A5A"/>
      <name val="Calibri"/>
      <family val="2"/>
    </font>
    <font>
      <b/>
      <sz val="10"/>
      <color rgb="FF111827"/>
      <name val="Calibri"/>
      <family val="2"/>
    </font>
    <font>
      <i/>
      <sz val="10"/>
      <color rgb="FF8A6100"/>
      <name val="Calibri"/>
      <family val="2"/>
    </font>
    <font>
      <u/>
      <sz val="10"/>
      <color rgb="FF1155CC"/>
      <name val="Calibri"/>
      <family val="2"/>
    </font>
    <font>
      <sz val="10"/>
      <color rgb="FF000000"/>
      <name val="Calibri"/>
      <family val="2"/>
    </font>
    <font>
      <u/>
      <sz val="10"/>
      <color theme="10"/>
      <name val="Calibri"/>
      <family val="2"/>
    </font>
    <font>
      <sz val="12"/>
      <color rgb="FF000000"/>
      <name val="Arial"/>
      <family val="2"/>
      <scheme val="minor"/>
    </font>
    <font>
      <b/>
      <sz val="20"/>
      <color rgb="FFFFFFFF"/>
      <name val="Arial"/>
      <family val="2"/>
      <scheme val="minor"/>
    </font>
    <font>
      <b/>
      <sz val="10"/>
      <color rgb="FFFFFFFF"/>
      <name val="Arial"/>
      <family val="2"/>
      <scheme val="minor"/>
    </font>
    <font>
      <b/>
      <sz val="12"/>
      <color rgb="FF1F2937"/>
      <name val="Arial"/>
      <family val="2"/>
      <scheme val="minor"/>
    </font>
    <font>
      <b/>
      <i/>
      <sz val="12"/>
      <color rgb="FF5A5A5A"/>
      <name val="Arial"/>
      <family val="2"/>
      <scheme val="minor"/>
    </font>
    <font>
      <b/>
      <sz val="10"/>
      <color rgb="FF1F2937"/>
      <name val="Arial"/>
      <family val="2"/>
      <scheme val="minor"/>
    </font>
    <font>
      <b/>
      <i/>
      <sz val="10"/>
      <color rgb="FF5A5A5A"/>
      <name val="Arial"/>
      <family val="2"/>
      <scheme val="minor"/>
    </font>
    <font>
      <b/>
      <sz val="10"/>
      <color rgb="FF111827"/>
      <name val="Arial"/>
      <family val="2"/>
      <scheme val="minor"/>
    </font>
    <font>
      <b/>
      <sz val="10"/>
      <name val="Arial"/>
      <family val="2"/>
      <scheme val="minor"/>
    </font>
    <font>
      <sz val="10"/>
      <name val="Arial"/>
      <family val="2"/>
      <scheme val="minor"/>
    </font>
    <font>
      <i/>
      <sz val="10"/>
      <color rgb="FF5A5A5A"/>
      <name val="Arial"/>
      <family val="2"/>
      <scheme val="minor"/>
    </font>
    <font>
      <u/>
      <sz val="10"/>
      <color rgb="FF1155CC"/>
      <name val="Arial"/>
      <family val="2"/>
      <scheme val="minor"/>
    </font>
    <font>
      <i/>
      <sz val="10"/>
      <color rgb="FF8A6100"/>
      <name val="Arial"/>
      <family val="2"/>
      <scheme val="minor"/>
    </font>
    <font>
      <b/>
      <i/>
      <sz val="10"/>
      <name val="Arial"/>
      <family val="2"/>
      <scheme val="minor"/>
    </font>
    <font>
      <b/>
      <sz val="11"/>
      <color rgb="FFFFFFFF"/>
      <name val="Calibri"/>
      <family val="2"/>
    </font>
    <font>
      <i/>
      <sz val="11"/>
      <color rgb="FF666666"/>
      <name val="Calibri"/>
      <family val="2"/>
    </font>
    <font>
      <b/>
      <sz val="11"/>
      <color rgb="FF203040"/>
      <name val="Calibri"/>
      <family val="2"/>
    </font>
    <font>
      <sz val="11"/>
      <color rgb="FF203040"/>
      <name val="Calibri"/>
      <family val="2"/>
    </font>
    <font>
      <b/>
      <sz val="11"/>
      <color rgb="FF9C0006"/>
      <name val="Calibri"/>
      <family val="2"/>
    </font>
    <font>
      <b/>
      <sz val="11"/>
      <color rgb="FF000000"/>
      <name val="Calibri"/>
      <family val="2"/>
    </font>
    <font>
      <sz val="11"/>
      <color theme="1"/>
      <name val="Calibri"/>
      <family val="2"/>
    </font>
    <font>
      <sz val="11"/>
      <color rgb="FF242424"/>
      <name val="Aptos Narrow"/>
    </font>
    <font>
      <b/>
      <sz val="12"/>
      <color rgb="FF000000"/>
      <name val="Arial"/>
      <family val="2"/>
      <scheme val="minor"/>
    </font>
    <font>
      <b/>
      <sz val="16"/>
      <color theme="0"/>
      <name val="Arial"/>
      <family val="2"/>
      <scheme val="minor"/>
    </font>
    <font>
      <b/>
      <u/>
      <sz val="10"/>
      <name val="Arial"/>
      <family val="2"/>
      <scheme val="minor"/>
    </font>
    <font>
      <b/>
      <i/>
      <u/>
      <sz val="10"/>
      <color rgb="FF5A5A5A"/>
      <name val="Arial"/>
      <family val="2"/>
      <scheme val="minor"/>
    </font>
    <font>
      <b/>
      <i/>
      <u/>
      <sz val="12"/>
      <color theme="0"/>
      <name val="Arial (Body)"/>
    </font>
    <font>
      <i/>
      <sz val="10"/>
      <color theme="0"/>
      <name val="Arial"/>
      <family val="2"/>
      <scheme val="minor"/>
    </font>
    <font>
      <b/>
      <sz val="10"/>
      <color rgb="FF0070C0"/>
      <name val="Arial"/>
      <family val="2"/>
      <scheme val="minor"/>
    </font>
    <font>
      <sz val="10"/>
      <color rgb="FF0070C0"/>
      <name val="Arial"/>
      <family val="2"/>
      <scheme val="minor"/>
    </font>
    <font>
      <u/>
      <sz val="10"/>
      <color rgb="FF0070C0"/>
      <name val="Arial"/>
      <family val="2"/>
      <scheme val="minor"/>
    </font>
    <font>
      <sz val="10"/>
      <color rgb="FFC00000"/>
      <name val="Arial"/>
      <family val="2"/>
      <scheme val="minor"/>
    </font>
    <font>
      <sz val="10"/>
      <color theme="4"/>
      <name val="Arial"/>
      <family val="2"/>
      <scheme val="minor"/>
    </font>
    <font>
      <sz val="10"/>
      <color theme="0" tint="-0.499984740745262"/>
      <name val="Arial"/>
      <family val="2"/>
      <scheme val="minor"/>
    </font>
    <font>
      <sz val="10"/>
      <color rgb="FF808080"/>
      <name val="Arial"/>
      <family val="2"/>
      <scheme val="minor"/>
    </font>
    <font>
      <b/>
      <sz val="16"/>
      <color theme="7"/>
      <name val="Arial (Body)"/>
    </font>
    <font>
      <sz val="10"/>
      <color rgb="FF000000"/>
      <name val="Tahoma"/>
      <family val="2"/>
    </font>
  </fonts>
  <fills count="52">
    <fill>
      <patternFill patternType="none"/>
    </fill>
    <fill>
      <patternFill patternType="gray125"/>
    </fill>
    <fill>
      <patternFill patternType="solid">
        <fgColor theme="7" tint="0.79998168889431442"/>
        <bgColor indexed="64"/>
      </patternFill>
    </fill>
    <fill>
      <patternFill patternType="solid">
        <fgColor theme="7"/>
        <bgColor indexed="64"/>
      </patternFill>
    </fill>
    <fill>
      <patternFill patternType="solid">
        <fgColor rgb="FF00B050"/>
        <bgColor indexed="64"/>
      </patternFill>
    </fill>
    <fill>
      <patternFill patternType="solid">
        <fgColor rgb="FFFFFFFF"/>
        <bgColor rgb="FFFFFFFF"/>
      </patternFill>
    </fill>
    <fill>
      <patternFill patternType="solid">
        <fgColor theme="0"/>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4"/>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111827"/>
      </patternFill>
    </fill>
    <fill>
      <patternFill patternType="solid">
        <fgColor rgb="FF1D4E89"/>
      </patternFill>
    </fill>
    <fill>
      <patternFill patternType="solid">
        <fgColor rgb="FF0F5257"/>
      </patternFill>
    </fill>
    <fill>
      <patternFill patternType="solid">
        <fgColor rgb="FF8A5A00"/>
      </patternFill>
    </fill>
    <fill>
      <patternFill patternType="solid">
        <fgColor rgb="FF4A7C0F"/>
      </patternFill>
    </fill>
    <fill>
      <patternFill patternType="solid">
        <fgColor rgb="FF374151"/>
      </patternFill>
    </fill>
    <fill>
      <patternFill patternType="solid">
        <fgColor rgb="FF4B5563"/>
      </patternFill>
    </fill>
    <fill>
      <patternFill patternType="solid">
        <fgColor rgb="FFE8EAED"/>
      </patternFill>
    </fill>
    <fill>
      <patternFill patternType="solid">
        <fgColor rgb="FFDCE9F7"/>
      </patternFill>
    </fill>
    <fill>
      <patternFill patternType="solid">
        <fgColor rgb="FFE4DDF2"/>
      </patternFill>
    </fill>
    <fill>
      <patternFill patternType="solid">
        <fgColor rgb="FFE1F0DC"/>
      </patternFill>
    </fill>
    <fill>
      <patternFill patternType="solid">
        <fgColor rgb="FFFDF0D5"/>
      </patternFill>
    </fill>
    <fill>
      <patternFill patternType="solid">
        <fgColor rgb="FFFCE3E3"/>
      </patternFill>
    </fill>
    <fill>
      <patternFill patternType="solid">
        <fgColor rgb="FFDDF2F7"/>
      </patternFill>
    </fill>
    <fill>
      <patternFill patternType="solid">
        <fgColor theme="9" tint="0.79998168889431442"/>
        <bgColor indexed="64"/>
      </patternFill>
    </fill>
    <fill>
      <patternFill patternType="solid">
        <fgColor theme="1"/>
        <bgColor indexed="64"/>
      </patternFill>
    </fill>
    <fill>
      <patternFill patternType="solid">
        <fgColor rgb="FF17365D"/>
        <bgColor rgb="FF000000"/>
      </patternFill>
    </fill>
    <fill>
      <patternFill patternType="solid">
        <fgColor rgb="FFD9EAF7"/>
        <bgColor rgb="FF000000"/>
      </patternFill>
    </fill>
    <fill>
      <patternFill patternType="solid">
        <fgColor rgb="FFF2F2F2"/>
        <bgColor rgb="FF000000"/>
      </patternFill>
    </fill>
    <fill>
      <patternFill patternType="solid">
        <fgColor rgb="FF1F4E78"/>
        <bgColor rgb="FF000000"/>
      </patternFill>
    </fill>
    <fill>
      <patternFill patternType="solid">
        <fgColor rgb="FF8064A2"/>
        <bgColor rgb="FF000000"/>
      </patternFill>
    </fill>
    <fill>
      <patternFill patternType="solid">
        <fgColor rgb="FFE4DFEC"/>
        <bgColor rgb="FF000000"/>
      </patternFill>
    </fill>
    <fill>
      <patternFill patternType="solid">
        <fgColor rgb="FF4472C4"/>
        <bgColor rgb="FF000000"/>
      </patternFill>
    </fill>
    <fill>
      <patternFill patternType="solid">
        <fgColor rgb="FF70AD47"/>
        <bgColor rgb="FF000000"/>
      </patternFill>
    </fill>
    <fill>
      <patternFill patternType="solid">
        <fgColor rgb="FFE2F0D9"/>
        <bgColor rgb="FF000000"/>
      </patternFill>
    </fill>
    <fill>
      <patternFill patternType="solid">
        <fgColor rgb="FFE4DFEC"/>
        <bgColor indexed="64"/>
      </patternFill>
    </fill>
    <fill>
      <patternFill patternType="solid">
        <fgColor rgb="FFD9EAF7"/>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111827"/>
        <bgColor rgb="FF000000"/>
      </patternFill>
    </fill>
    <fill>
      <patternFill patternType="solid">
        <fgColor rgb="FFE8EAED"/>
        <bgColor rgb="FF000000"/>
      </patternFill>
    </fill>
    <fill>
      <patternFill patternType="solid">
        <fgColor rgb="FFFFC7CE"/>
        <bgColor rgb="FF000000"/>
      </patternFill>
    </fill>
    <fill>
      <patternFill patternType="solid">
        <fgColor rgb="FFC6EFCE"/>
        <bgColor rgb="FF000000"/>
      </patternFill>
    </fill>
    <fill>
      <patternFill patternType="solid">
        <fgColor rgb="FFC00000"/>
        <bgColor rgb="FF000000"/>
      </patternFill>
    </fill>
    <fill>
      <patternFill patternType="solid">
        <fgColor theme="4" tint="0.79998168889431442"/>
        <bgColor indexed="64"/>
      </patternFill>
    </fill>
    <fill>
      <patternFill patternType="solid">
        <fgColor rgb="FFD9D9D9"/>
        <bgColor rgb="FF000000"/>
      </patternFill>
    </fill>
    <fill>
      <patternFill patternType="solid">
        <fgColor theme="4" tint="-0.499984740745262"/>
        <bgColor indexed="64"/>
      </patternFill>
    </fill>
    <fill>
      <patternFill patternType="solid">
        <fgColor rgb="FFD9E7FD"/>
        <bgColor rgb="FF000000"/>
      </patternFill>
    </fill>
    <fill>
      <patternFill patternType="solid">
        <fgColor theme="7" tint="-0.499984740745262"/>
        <bgColor indexed="64"/>
      </patternFill>
    </fill>
    <fill>
      <patternFill patternType="solid">
        <fgColor rgb="FF0070C0"/>
        <bgColor indexed="64"/>
      </patternFill>
    </fill>
  </fills>
  <borders count="30">
    <border>
      <left/>
      <right/>
      <top/>
      <bottom/>
      <diagonal/>
    </border>
    <border>
      <left style="thin">
        <color rgb="FF435E91"/>
      </left>
      <right/>
      <top/>
      <bottom/>
      <diagonal/>
    </border>
    <border>
      <left/>
      <right/>
      <top/>
      <bottom style="thin">
        <color indexed="64"/>
      </bottom>
      <diagonal/>
    </border>
    <border>
      <left style="thin">
        <color rgb="FFD8DCE1"/>
      </left>
      <right style="thin">
        <color rgb="FFD8DCE1"/>
      </right>
      <top style="thin">
        <color rgb="FFD8DCE1"/>
      </top>
      <bottom style="medium">
        <color rgb="FF8C939B"/>
      </bottom>
      <diagonal/>
    </border>
    <border>
      <left style="thin">
        <color rgb="FFD8DCE1"/>
      </left>
      <right style="thin">
        <color rgb="FFD8DCE1"/>
      </right>
      <top style="thin">
        <color rgb="FFD8DCE1"/>
      </top>
      <bottom style="thin">
        <color rgb="FFD8DCE1"/>
      </bottom>
      <diagonal/>
    </border>
    <border>
      <left style="thin">
        <color rgb="FFD8DCE1"/>
      </left>
      <right style="thin">
        <color rgb="FFD8DCE1"/>
      </right>
      <top style="medium">
        <color rgb="FF8C939B"/>
      </top>
      <bottom style="thin">
        <color rgb="FFD8DCE1"/>
      </bottom>
      <diagonal/>
    </border>
    <border>
      <left style="thin">
        <color rgb="FFD8DCE1"/>
      </left>
      <right style="thin">
        <color rgb="FFD8DCE1"/>
      </right>
      <top style="thin">
        <color rgb="FFD8DCE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D8DCE1"/>
      </left>
      <right/>
      <top style="thin">
        <color rgb="FFD8DCE1"/>
      </top>
      <bottom/>
      <diagonal/>
    </border>
    <border>
      <left style="thin">
        <color theme="0" tint="-0.24994659260841701"/>
      </left>
      <right/>
      <top style="thin">
        <color theme="0" tint="-0.24994659260841701"/>
      </top>
      <bottom style="thin">
        <color theme="0" tint="-0.24994659260841701"/>
      </bottom>
      <diagonal/>
    </border>
    <border>
      <left style="thin">
        <color indexed="64"/>
      </left>
      <right/>
      <top/>
      <bottom/>
      <diagonal/>
    </border>
    <border>
      <left style="thin">
        <color indexed="64"/>
      </left>
      <right style="thin">
        <color rgb="FFD8DCE1"/>
      </right>
      <top style="thin">
        <color rgb="FFD8DCE1"/>
      </top>
      <bottom/>
      <diagonal/>
    </border>
    <border>
      <left style="thin">
        <color indexed="64"/>
      </left>
      <right style="thin">
        <color theme="0" tint="-0.24994659260841701"/>
      </right>
      <top style="thin">
        <color theme="0" tint="-0.24994659260841701"/>
      </top>
      <bottom style="thin">
        <color theme="0" tint="-0.24994659260841701"/>
      </bottom>
      <diagonal/>
    </border>
    <border>
      <left/>
      <right style="thin">
        <color rgb="FFD8DCE1"/>
      </right>
      <top style="thin">
        <color rgb="FFD8DCE1"/>
      </top>
      <bottom/>
      <diagonal/>
    </border>
    <border>
      <left/>
      <right style="thin">
        <color theme="0" tint="-0.24994659260841701"/>
      </right>
      <top style="thin">
        <color theme="0" tint="-0.24994659260841701"/>
      </top>
      <bottom style="thin">
        <color theme="0" tint="-0.24994659260841701"/>
      </bottom>
      <diagonal/>
    </border>
    <border>
      <left/>
      <right style="thin">
        <color indexed="64"/>
      </right>
      <top/>
      <bottom/>
      <diagonal/>
    </border>
    <border>
      <left style="thin">
        <color rgb="FFD8DCE1"/>
      </left>
      <right style="thin">
        <color indexed="64"/>
      </right>
      <top style="thin">
        <color rgb="FFD8DCE1"/>
      </top>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rgb="FFB7C9DD"/>
      </left>
      <right style="thin">
        <color rgb="FFB7C9DD"/>
      </right>
      <top style="thin">
        <color rgb="FFB7C9DD"/>
      </top>
      <bottom style="thin">
        <color rgb="FFB7C9DD"/>
      </bottom>
      <diagonal/>
    </border>
    <border>
      <left/>
      <right style="thin">
        <color rgb="FFB7C9DD"/>
      </right>
      <top style="thin">
        <color rgb="FFB7C9DD"/>
      </top>
      <bottom style="thin">
        <color rgb="FFB7C9DD"/>
      </bottom>
      <diagonal/>
    </border>
    <border>
      <left style="thin">
        <color rgb="FFB7C9DD"/>
      </left>
      <right style="thin">
        <color rgb="FFB7C9DD"/>
      </right>
      <top/>
      <bottom style="thin">
        <color rgb="FFB7C9DD"/>
      </bottom>
      <diagonal/>
    </border>
    <border>
      <left/>
      <right style="thin">
        <color rgb="FFB7C9DD"/>
      </right>
      <top/>
      <bottom style="thin">
        <color rgb="FFB7C9DD"/>
      </bottom>
      <diagonal/>
    </border>
    <border>
      <left style="thin">
        <color rgb="FFB7C9DD"/>
      </left>
      <right style="thin">
        <color rgb="FFB7C9DD"/>
      </right>
      <top/>
      <bottom/>
      <diagonal/>
    </border>
    <border>
      <left/>
      <right style="thin">
        <color rgb="FFB7C9DD"/>
      </right>
      <top/>
      <bottom/>
      <diagonal/>
    </border>
    <border>
      <left/>
      <right style="thin">
        <color rgb="FFD8DCE1"/>
      </right>
      <top style="thin">
        <color rgb="FFD8DCE1"/>
      </top>
      <bottom style="medium">
        <color rgb="FF8C939B"/>
      </bottom>
      <diagonal/>
    </border>
    <border>
      <left/>
      <right style="thin">
        <color rgb="FFD8DCE1"/>
      </right>
      <top style="thin">
        <color rgb="FFD8DCE1"/>
      </top>
      <bottom style="thin">
        <color rgb="FFD8DCE1"/>
      </bottom>
      <diagonal/>
    </border>
    <border>
      <left/>
      <right style="thin">
        <color rgb="FFD8DCE1"/>
      </right>
      <top style="medium">
        <color rgb="FF8C939B"/>
      </top>
      <bottom style="thin">
        <color rgb="FFD8DCE1"/>
      </bottom>
      <diagonal/>
    </border>
    <border>
      <left style="thin">
        <color rgb="FFD8DCE1"/>
      </left>
      <right style="thin">
        <color rgb="FFD8DCE1"/>
      </right>
      <top/>
      <bottom style="thin">
        <color rgb="FFD8DCE1"/>
      </bottom>
      <diagonal/>
    </border>
    <border>
      <left/>
      <right style="thin">
        <color rgb="FFD8DCE1"/>
      </right>
      <top/>
      <bottom style="thin">
        <color rgb="FFD8DCE1"/>
      </bottom>
      <diagonal/>
    </border>
    <border>
      <left/>
      <right/>
      <top/>
      <bottom style="thin">
        <color rgb="FFD8DCE1"/>
      </bottom>
      <diagonal/>
    </border>
  </borders>
  <cellStyleXfs count="3">
    <xf numFmtId="0" fontId="0" fillId="0" borderId="0"/>
    <xf numFmtId="0" fontId="4" fillId="0" borderId="0" applyNumberFormat="0" applyFill="0" applyBorder="0" applyAlignment="0" applyProtection="0"/>
    <xf numFmtId="0" fontId="13" fillId="0" borderId="0"/>
  </cellStyleXfs>
  <cellXfs count="289">
    <xf numFmtId="0" fontId="0" fillId="0" borderId="0" xfId="0"/>
    <xf numFmtId="0" fontId="1" fillId="0" borderId="0" xfId="0" applyFont="1" applyAlignment="1">
      <alignment vertical="center" wrapText="1"/>
    </xf>
    <xf numFmtId="49" fontId="2" fillId="0" borderId="0" xfId="0" applyNumberFormat="1" applyFont="1" applyAlignment="1">
      <alignment vertical="center" wrapText="1"/>
    </xf>
    <xf numFmtId="49" fontId="1" fillId="0" borderId="0" xfId="0" applyNumberFormat="1" applyFont="1" applyAlignment="1">
      <alignment vertical="center" wrapText="1"/>
    </xf>
    <xf numFmtId="0" fontId="3" fillId="0" borderId="0" xfId="0" applyFont="1" applyAlignment="1">
      <alignment vertical="center"/>
    </xf>
    <xf numFmtId="0" fontId="1" fillId="0" borderId="0" xfId="0" applyFont="1" applyAlignment="1">
      <alignment vertical="center"/>
    </xf>
    <xf numFmtId="49" fontId="1" fillId="0" borderId="0" xfId="0" applyNumberFormat="1" applyFont="1" applyAlignment="1">
      <alignment vertical="center"/>
    </xf>
    <xf numFmtId="49" fontId="3" fillId="0" borderId="0" xfId="0" applyNumberFormat="1" applyFont="1" applyAlignment="1">
      <alignment vertical="center"/>
    </xf>
    <xf numFmtId="0" fontId="4" fillId="0" borderId="0" xfId="1" applyAlignment="1">
      <alignment vertical="center"/>
    </xf>
    <xf numFmtId="0" fontId="7" fillId="0" borderId="0" xfId="0" applyFont="1" applyAlignment="1">
      <alignment wrapText="1"/>
    </xf>
    <xf numFmtId="0" fontId="8" fillId="0" borderId="0" xfId="0" applyFont="1" applyAlignment="1">
      <alignment wrapText="1"/>
    </xf>
    <xf numFmtId="0" fontId="9" fillId="0" borderId="0" xfId="0" applyFont="1"/>
    <xf numFmtId="0" fontId="9" fillId="2" borderId="0" xfId="0" applyFont="1" applyFill="1"/>
    <xf numFmtId="0" fontId="0" fillId="2" borderId="0" xfId="0" applyFill="1"/>
    <xf numFmtId="0" fontId="10" fillId="0" borderId="0" xfId="0" applyFont="1"/>
    <xf numFmtId="49" fontId="4" fillId="0" borderId="0" xfId="1" applyNumberFormat="1" applyAlignment="1">
      <alignment vertical="center" wrapText="1"/>
    </xf>
    <xf numFmtId="0" fontId="9" fillId="0" borderId="0" xfId="0" applyFont="1" applyAlignment="1">
      <alignment vertical="center"/>
    </xf>
    <xf numFmtId="0" fontId="0" fillId="0" borderId="0" xfId="0" applyAlignment="1">
      <alignment vertical="center"/>
    </xf>
    <xf numFmtId="0" fontId="9" fillId="0" borderId="0" xfId="0" applyFont="1" applyAlignment="1">
      <alignment vertical="center" wrapText="1"/>
    </xf>
    <xf numFmtId="49" fontId="9" fillId="0" borderId="0" xfId="0" applyNumberFormat="1" applyFont="1" applyAlignment="1">
      <alignment vertical="center" wrapText="1"/>
    </xf>
    <xf numFmtId="49" fontId="9" fillId="0" borderId="0" xfId="0" applyNumberFormat="1" applyFont="1" applyAlignment="1">
      <alignment vertical="center"/>
    </xf>
    <xf numFmtId="49" fontId="0" fillId="0" borderId="0" xfId="0" applyNumberFormat="1" applyAlignment="1">
      <alignment vertical="center" wrapText="1"/>
    </xf>
    <xf numFmtId="0" fontId="0" fillId="3" borderId="0" xfId="0" applyFill="1"/>
    <xf numFmtId="0" fontId="6" fillId="3" borderId="0" xfId="0" applyFont="1" applyFill="1"/>
    <xf numFmtId="0" fontId="1" fillId="3" borderId="0" xfId="0" applyFont="1" applyFill="1" applyAlignment="1">
      <alignment vertical="center" wrapText="1"/>
    </xf>
    <xf numFmtId="49" fontId="1" fillId="3" borderId="0" xfId="0" applyNumberFormat="1" applyFont="1" applyFill="1" applyAlignment="1">
      <alignment vertical="center" wrapText="1"/>
    </xf>
    <xf numFmtId="0" fontId="6" fillId="4" borderId="0" xfId="0" applyFont="1" applyFill="1"/>
    <xf numFmtId="0" fontId="5" fillId="4" borderId="0" xfId="0" applyFont="1" applyFill="1" applyAlignment="1">
      <alignment horizontal="left" vertical="center" wrapText="1"/>
    </xf>
    <xf numFmtId="49" fontId="5" fillId="4" borderId="0" xfId="0" applyNumberFormat="1" applyFont="1" applyFill="1" applyAlignment="1">
      <alignment horizontal="left" vertical="center" wrapText="1"/>
    </xf>
    <xf numFmtId="0" fontId="6" fillId="4" borderId="0" xfId="0" applyFont="1" applyFill="1" applyAlignment="1">
      <alignment horizontal="left" vertical="center"/>
    </xf>
    <xf numFmtId="0" fontId="0" fillId="4" borderId="0" xfId="0" applyFill="1"/>
    <xf numFmtId="14" fontId="0" fillId="0" borderId="0" xfId="0" applyNumberFormat="1"/>
    <xf numFmtId="0" fontId="11" fillId="0" borderId="0" xfId="0" applyFont="1" applyAlignment="1">
      <alignment textRotation="90" wrapText="1"/>
    </xf>
    <xf numFmtId="0" fontId="12" fillId="0" borderId="0" xfId="0" applyFont="1" applyAlignment="1">
      <alignment textRotation="90" wrapText="1"/>
    </xf>
    <xf numFmtId="49" fontId="1" fillId="5" borderId="1" xfId="0" applyNumberFormat="1" applyFont="1" applyFill="1" applyBorder="1" applyAlignment="1">
      <alignment vertical="center" wrapText="1"/>
    </xf>
    <xf numFmtId="0" fontId="8" fillId="0" borderId="0" xfId="0" applyFont="1" applyAlignment="1">
      <alignment horizontal="left" vertical="top" wrapText="1"/>
    </xf>
    <xf numFmtId="16" fontId="0" fillId="0" borderId="0" xfId="0" applyNumberFormat="1"/>
    <xf numFmtId="0" fontId="0" fillId="6" borderId="0" xfId="0" applyFill="1"/>
    <xf numFmtId="49" fontId="1" fillId="5" borderId="0" xfId="0" applyNumberFormat="1" applyFont="1" applyFill="1" applyAlignment="1">
      <alignment vertical="center" wrapText="1"/>
    </xf>
    <xf numFmtId="0" fontId="13" fillId="0" borderId="0" xfId="0" applyFont="1"/>
    <xf numFmtId="0" fontId="14" fillId="0" borderId="0" xfId="0" applyFont="1"/>
    <xf numFmtId="0" fontId="13" fillId="7" borderId="2" xfId="2" applyFill="1" applyBorder="1"/>
    <xf numFmtId="0" fontId="9" fillId="7" borderId="2" xfId="2" applyFont="1" applyFill="1" applyBorder="1"/>
    <xf numFmtId="0" fontId="13" fillId="0" borderId="0" xfId="2"/>
    <xf numFmtId="0" fontId="9" fillId="7" borderId="0" xfId="2" applyFont="1" applyFill="1"/>
    <xf numFmtId="0" fontId="13" fillId="7" borderId="0" xfId="2" applyFill="1"/>
    <xf numFmtId="0" fontId="9" fillId="0" borderId="0" xfId="2" applyFont="1"/>
    <xf numFmtId="0" fontId="15" fillId="0" borderId="0" xfId="2" applyFont="1"/>
    <xf numFmtId="0" fontId="16" fillId="0" borderId="0" xfId="2" applyFont="1"/>
    <xf numFmtId="0" fontId="4" fillId="0" borderId="0" xfId="1"/>
    <xf numFmtId="0" fontId="17" fillId="0" borderId="0" xfId="2" applyFont="1"/>
    <xf numFmtId="0" fontId="18" fillId="0" borderId="0" xfId="2" applyFont="1"/>
    <xf numFmtId="0" fontId="19" fillId="0" borderId="0" xfId="2" applyFont="1"/>
    <xf numFmtId="16" fontId="13" fillId="0" borderId="0" xfId="2" applyNumberFormat="1"/>
    <xf numFmtId="16" fontId="0" fillId="0" borderId="0" xfId="2" applyNumberFormat="1" applyFont="1"/>
    <xf numFmtId="0" fontId="0" fillId="0" borderId="0" xfId="2" applyFont="1"/>
    <xf numFmtId="0" fontId="0" fillId="7" borderId="2" xfId="2" applyFont="1" applyFill="1" applyBorder="1"/>
    <xf numFmtId="0" fontId="14" fillId="0" borderId="0" xfId="2" applyFont="1"/>
    <xf numFmtId="0" fontId="21" fillId="0" borderId="0" xfId="0" applyFont="1"/>
    <xf numFmtId="0" fontId="1" fillId="0" borderId="0" xfId="2" applyFont="1"/>
    <xf numFmtId="0" fontId="13" fillId="8" borderId="0" xfId="2" applyFill="1"/>
    <xf numFmtId="0" fontId="22" fillId="0" borderId="0" xfId="2" applyFont="1"/>
    <xf numFmtId="49" fontId="13" fillId="0" borderId="0" xfId="0" applyNumberFormat="1" applyFont="1" applyAlignment="1">
      <alignment vertical="center" wrapText="1"/>
    </xf>
    <xf numFmtId="0" fontId="13" fillId="9" borderId="0" xfId="2" applyFill="1"/>
    <xf numFmtId="0" fontId="24" fillId="0" borderId="0" xfId="2" applyFont="1"/>
    <xf numFmtId="0" fontId="13" fillId="10" borderId="0" xfId="0" applyFont="1" applyFill="1"/>
    <xf numFmtId="0" fontId="0" fillId="10" borderId="0" xfId="0" applyFill="1"/>
    <xf numFmtId="0" fontId="25" fillId="0" borderId="0" xfId="0" applyFont="1"/>
    <xf numFmtId="0" fontId="13" fillId="8" borderId="0" xfId="0" applyFont="1" applyFill="1"/>
    <xf numFmtId="0" fontId="0" fillId="8" borderId="0" xfId="0" applyFill="1"/>
    <xf numFmtId="16" fontId="0" fillId="0" borderId="0" xfId="0" applyNumberFormat="1" applyAlignment="1">
      <alignment horizontal="center"/>
    </xf>
    <xf numFmtId="15" fontId="13" fillId="0" borderId="0" xfId="0" applyNumberFormat="1" applyFont="1"/>
    <xf numFmtId="16" fontId="0" fillId="11" borderId="0" xfId="0" applyNumberFormat="1" applyFill="1" applyAlignment="1">
      <alignment horizontal="center"/>
    </xf>
    <xf numFmtId="16" fontId="13" fillId="0" borderId="0" xfId="0" applyNumberFormat="1" applyFont="1" applyAlignment="1">
      <alignment horizontal="center"/>
    </xf>
    <xf numFmtId="0" fontId="15" fillId="0" borderId="0" xfId="0" applyFont="1"/>
    <xf numFmtId="0" fontId="28" fillId="19" borderId="6" xfId="2" applyFont="1" applyFill="1" applyBorder="1" applyAlignment="1">
      <alignment horizontal="center" vertical="center" wrapText="1"/>
    </xf>
    <xf numFmtId="0" fontId="35" fillId="19" borderId="6" xfId="2" applyFont="1" applyFill="1" applyBorder="1" applyAlignment="1">
      <alignment horizontal="center" vertical="center" wrapText="1"/>
    </xf>
    <xf numFmtId="0" fontId="28" fillId="20" borderId="7" xfId="2" applyFont="1" applyFill="1" applyBorder="1" applyAlignment="1">
      <alignment vertical="center" wrapText="1" indent="1"/>
    </xf>
    <xf numFmtId="0" fontId="36" fillId="0" borderId="7" xfId="2" applyFont="1" applyBorder="1" applyAlignment="1">
      <alignment vertical="center" wrapText="1" indent="1"/>
    </xf>
    <xf numFmtId="0" fontId="32" fillId="0" borderId="7" xfId="2" applyFont="1" applyBorder="1" applyAlignment="1">
      <alignment vertical="center" wrapText="1" indent="1"/>
    </xf>
    <xf numFmtId="164" fontId="32" fillId="0" borderId="7" xfId="2" applyNumberFormat="1" applyFont="1" applyBorder="1" applyAlignment="1">
      <alignment horizontal="center" vertical="center"/>
    </xf>
    <xf numFmtId="164" fontId="31" fillId="0" borderId="7" xfId="2" applyNumberFormat="1" applyFont="1" applyBorder="1" applyAlignment="1">
      <alignment horizontal="center" vertical="center"/>
    </xf>
    <xf numFmtId="0" fontId="32" fillId="0" borderId="7" xfId="2" applyFont="1" applyBorder="1" applyAlignment="1">
      <alignment horizontal="center" vertical="center"/>
    </xf>
    <xf numFmtId="0" fontId="29" fillId="0" borderId="7" xfId="2" applyFont="1" applyBorder="1" applyAlignment="1">
      <alignment vertical="center" wrapText="1" indent="1"/>
    </xf>
    <xf numFmtId="0" fontId="38" fillId="0" borderId="7" xfId="2" applyFont="1" applyBorder="1" applyAlignment="1">
      <alignment vertical="center" wrapText="1" indent="1"/>
    </xf>
    <xf numFmtId="0" fontId="37" fillId="0" borderId="7" xfId="2" applyFont="1" applyBorder="1" applyAlignment="1">
      <alignment vertical="center" wrapText="1" indent="1"/>
    </xf>
    <xf numFmtId="0" fontId="0" fillId="0" borderId="7" xfId="2" applyFont="1" applyBorder="1"/>
    <xf numFmtId="0" fontId="28" fillId="21" borderId="7" xfId="2" applyFont="1" applyFill="1" applyBorder="1" applyAlignment="1">
      <alignment vertical="center" wrapText="1" indent="1"/>
    </xf>
    <xf numFmtId="0" fontId="28" fillId="22" borderId="7" xfId="2" applyFont="1" applyFill="1" applyBorder="1" applyAlignment="1">
      <alignment vertical="center" wrapText="1" indent="1"/>
    </xf>
    <xf numFmtId="164" fontId="32" fillId="0" borderId="7" xfId="2" applyNumberFormat="1" applyFont="1" applyBorder="1" applyAlignment="1">
      <alignment horizontal="center" vertical="center" wrapText="1"/>
    </xf>
    <xf numFmtId="0" fontId="28" fillId="23" borderId="7" xfId="2" applyFont="1" applyFill="1" applyBorder="1" applyAlignment="1">
      <alignment vertical="center" wrapText="1" indent="1"/>
    </xf>
    <xf numFmtId="0" fontId="28" fillId="24" borderId="7" xfId="2" applyFont="1" applyFill="1" applyBorder="1" applyAlignment="1">
      <alignment vertical="center" wrapText="1" indent="1"/>
    </xf>
    <xf numFmtId="0" fontId="28" fillId="25" borderId="7" xfId="2" applyFont="1" applyFill="1" applyBorder="1" applyAlignment="1">
      <alignment vertical="center" wrapText="1" indent="1"/>
    </xf>
    <xf numFmtId="0" fontId="4" fillId="0" borderId="7" xfId="1" applyBorder="1" applyAlignment="1">
      <alignment vertical="center" wrapText="1" indent="1"/>
    </xf>
    <xf numFmtId="0" fontId="40" fillId="0" borderId="7" xfId="1" applyFont="1" applyBorder="1" applyAlignment="1">
      <alignment vertical="center" wrapText="1" indent="1"/>
    </xf>
    <xf numFmtId="0" fontId="0" fillId="6" borderId="0" xfId="2" applyFont="1" applyFill="1"/>
    <xf numFmtId="0" fontId="41" fillId="6" borderId="0" xfId="2" applyFont="1" applyFill="1"/>
    <xf numFmtId="0" fontId="0" fillId="8" borderId="7" xfId="2" applyFont="1" applyFill="1" applyBorder="1"/>
    <xf numFmtId="0" fontId="0" fillId="8" borderId="14" xfId="2" applyFont="1" applyFill="1" applyBorder="1"/>
    <xf numFmtId="0" fontId="42" fillId="27" borderId="0" xfId="2" applyFont="1" applyFill="1" applyAlignment="1">
      <alignment vertical="center"/>
    </xf>
    <xf numFmtId="0" fontId="43" fillId="27" borderId="0" xfId="2" applyFont="1" applyFill="1" applyAlignment="1">
      <alignment vertical="center"/>
    </xf>
    <xf numFmtId="0" fontId="44" fillId="19" borderId="6" xfId="2" applyFont="1" applyFill="1" applyBorder="1" applyAlignment="1">
      <alignment horizontal="center" vertical="center" wrapText="1"/>
    </xf>
    <xf numFmtId="0" fontId="44" fillId="19" borderId="8" xfId="2" applyFont="1" applyFill="1" applyBorder="1" applyAlignment="1">
      <alignment horizontal="center" vertical="center" wrapText="1"/>
    </xf>
    <xf numFmtId="0" fontId="44" fillId="19" borderId="11" xfId="2" applyFont="1" applyFill="1" applyBorder="1" applyAlignment="1">
      <alignment horizontal="center" vertical="center" wrapText="1"/>
    </xf>
    <xf numFmtId="0" fontId="45" fillId="19" borderId="16" xfId="2" applyFont="1" applyFill="1" applyBorder="1" applyAlignment="1">
      <alignment horizontal="center" vertical="center" wrapText="1"/>
    </xf>
    <xf numFmtId="0" fontId="44" fillId="19" borderId="13" xfId="2" applyFont="1" applyFill="1" applyBorder="1" applyAlignment="1">
      <alignment horizontal="center" vertical="center" wrapText="1"/>
    </xf>
    <xf numFmtId="0" fontId="46" fillId="27" borderId="0" xfId="2" applyFont="1" applyFill="1" applyAlignment="1">
      <alignment horizontal="center" vertical="center" wrapText="1"/>
    </xf>
    <xf numFmtId="0" fontId="46" fillId="27" borderId="10" xfId="2" applyFont="1" applyFill="1" applyBorder="1" applyAlignment="1">
      <alignment horizontal="center" vertical="center" wrapText="1"/>
    </xf>
    <xf numFmtId="0" fontId="47" fillId="27" borderId="0" xfId="2" applyFont="1" applyFill="1" applyAlignment="1">
      <alignment horizontal="center" vertical="center" wrapText="1"/>
    </xf>
    <xf numFmtId="0" fontId="47" fillId="27" borderId="15" xfId="2" applyFont="1" applyFill="1" applyBorder="1" applyAlignment="1">
      <alignment horizontal="center" vertical="center" wrapText="1"/>
    </xf>
    <xf numFmtId="0" fontId="46" fillId="20" borderId="7" xfId="2" applyFont="1" applyFill="1" applyBorder="1" applyAlignment="1">
      <alignment vertical="center" wrapText="1" indent="1"/>
    </xf>
    <xf numFmtId="0" fontId="48" fillId="0" borderId="7" xfId="2" applyFont="1" applyBorder="1" applyAlignment="1">
      <alignment vertical="center" wrapText="1" indent="1"/>
    </xf>
    <xf numFmtId="0" fontId="49" fillId="8" borderId="9" xfId="2" applyFont="1" applyFill="1" applyBorder="1" applyAlignment="1">
      <alignment vertical="center" wrapText="1" indent="1"/>
    </xf>
    <xf numFmtId="0" fontId="50" fillId="8" borderId="9" xfId="2" applyFont="1" applyFill="1" applyBorder="1" applyAlignment="1">
      <alignment vertical="center" wrapText="1" indent="1"/>
    </xf>
    <xf numFmtId="0" fontId="49" fillId="0" borderId="9" xfId="2" applyFont="1" applyBorder="1" applyAlignment="1">
      <alignment vertical="center" wrapText="1" indent="1"/>
    </xf>
    <xf numFmtId="164" fontId="49" fillId="0" borderId="12" xfId="2" applyNumberFormat="1" applyFont="1" applyBorder="1" applyAlignment="1">
      <alignment horizontal="center" vertical="center"/>
    </xf>
    <xf numFmtId="0" fontId="49" fillId="0" borderId="14" xfId="2" applyFont="1" applyBorder="1" applyAlignment="1">
      <alignment horizontal="center" vertical="center"/>
    </xf>
    <xf numFmtId="0" fontId="50" fillId="0" borderId="7" xfId="2" applyFont="1" applyBorder="1" applyAlignment="1">
      <alignment vertical="center" wrapText="1" indent="1"/>
    </xf>
    <xf numFmtId="0" fontId="52" fillId="0" borderId="7" xfId="2" applyFont="1" applyBorder="1" applyAlignment="1">
      <alignment vertical="center" wrapText="1" indent="1"/>
    </xf>
    <xf numFmtId="0" fontId="53" fillId="0" borderId="7" xfId="2" applyFont="1" applyBorder="1" applyAlignment="1">
      <alignment vertical="center" wrapText="1" indent="1"/>
    </xf>
    <xf numFmtId="0" fontId="50" fillId="0" borderId="9" xfId="2" applyFont="1" applyBorder="1" applyAlignment="1">
      <alignment vertical="center" wrapText="1" indent="1"/>
    </xf>
    <xf numFmtId="0" fontId="46" fillId="21" borderId="7" xfId="2" applyFont="1" applyFill="1" applyBorder="1" applyAlignment="1">
      <alignment vertical="center" wrapText="1" indent="1"/>
    </xf>
    <xf numFmtId="0" fontId="48" fillId="0" borderId="7" xfId="2" quotePrefix="1" applyFont="1" applyBorder="1" applyAlignment="1">
      <alignment vertical="center" wrapText="1" indent="1"/>
    </xf>
    <xf numFmtId="0" fontId="46" fillId="26" borderId="7" xfId="2" applyFont="1" applyFill="1" applyBorder="1" applyAlignment="1">
      <alignment vertical="center" wrapText="1" indent="1"/>
    </xf>
    <xf numFmtId="0" fontId="46" fillId="22" borderId="7" xfId="2" applyFont="1" applyFill="1" applyBorder="1" applyAlignment="1">
      <alignment vertical="center" wrapText="1" indent="1"/>
    </xf>
    <xf numFmtId="0" fontId="26" fillId="27" borderId="0" xfId="2" applyFont="1" applyFill="1" applyAlignment="1">
      <alignment horizontal="left" vertical="center"/>
    </xf>
    <xf numFmtId="0" fontId="46" fillId="23" borderId="7" xfId="2" applyFont="1" applyFill="1" applyBorder="1" applyAlignment="1">
      <alignment vertical="center" wrapText="1" indent="1"/>
    </xf>
    <xf numFmtId="0" fontId="26" fillId="27" borderId="0" xfId="2" applyFont="1" applyFill="1" applyAlignment="1">
      <alignment horizontal="left" vertical="top"/>
    </xf>
    <xf numFmtId="0" fontId="46" fillId="24" borderId="7" xfId="2" applyFont="1" applyFill="1" applyBorder="1" applyAlignment="1">
      <alignment vertical="center" wrapText="1" indent="1"/>
    </xf>
    <xf numFmtId="0" fontId="13" fillId="6" borderId="0" xfId="2" applyFill="1"/>
    <xf numFmtId="0" fontId="49" fillId="0" borderId="0" xfId="2" applyFont="1" applyAlignment="1">
      <alignment vertical="center" wrapText="1" indent="1"/>
    </xf>
    <xf numFmtId="0" fontId="50" fillId="0" borderId="0" xfId="2" applyFont="1" applyAlignment="1">
      <alignment vertical="center" wrapText="1" indent="1"/>
    </xf>
    <xf numFmtId="0" fontId="53" fillId="0" borderId="0" xfId="2" applyFont="1" applyAlignment="1">
      <alignment vertical="center" wrapText="1" indent="1"/>
    </xf>
    <xf numFmtId="0" fontId="46" fillId="27" borderId="0" xfId="2" applyFont="1" applyFill="1" applyAlignment="1">
      <alignment horizontal="left" vertical="center"/>
    </xf>
    <xf numFmtId="0" fontId="52" fillId="0" borderId="0" xfId="2" applyFont="1" applyAlignment="1">
      <alignment vertical="center" wrapText="1" indent="1"/>
    </xf>
    <xf numFmtId="0" fontId="46" fillId="26" borderId="0" xfId="2" applyFont="1" applyFill="1" applyAlignment="1">
      <alignment vertical="center" wrapText="1" indent="1"/>
    </xf>
    <xf numFmtId="0" fontId="46" fillId="26" borderId="0" xfId="2" applyFont="1" applyFill="1" applyAlignment="1">
      <alignment vertical="center" wrapText="1"/>
    </xf>
    <xf numFmtId="165" fontId="49" fillId="0" borderId="12" xfId="2" applyNumberFormat="1" applyFont="1" applyBorder="1" applyAlignment="1">
      <alignment horizontal="center" vertical="center"/>
    </xf>
    <xf numFmtId="165" fontId="46" fillId="27" borderId="10" xfId="2" applyNumberFormat="1" applyFont="1" applyFill="1" applyBorder="1" applyAlignment="1">
      <alignment horizontal="center" vertical="center" wrapText="1"/>
    </xf>
    <xf numFmtId="165" fontId="51" fillId="0" borderId="9" xfId="2" applyNumberFormat="1" applyFont="1" applyBorder="1" applyAlignment="1">
      <alignment horizontal="center" vertical="center"/>
    </xf>
    <xf numFmtId="165" fontId="51" fillId="0" borderId="17" xfId="2" applyNumberFormat="1" applyFont="1" applyBorder="1" applyAlignment="1">
      <alignment horizontal="center" vertical="center"/>
    </xf>
    <xf numFmtId="0" fontId="9" fillId="10" borderId="0" xfId="2" applyFont="1" applyFill="1"/>
    <xf numFmtId="0" fontId="9" fillId="10" borderId="0" xfId="0" applyFont="1" applyFill="1"/>
    <xf numFmtId="0" fontId="23" fillId="0" borderId="0" xfId="2" applyFont="1"/>
    <xf numFmtId="0" fontId="50" fillId="0" borderId="7" xfId="2" quotePrefix="1" applyFont="1" applyBorder="1" applyAlignment="1">
      <alignment vertical="center" wrapText="1" indent="1"/>
    </xf>
    <xf numFmtId="0" fontId="0" fillId="0" borderId="7" xfId="2" applyFont="1" applyBorder="1" applyAlignment="1">
      <alignment vertical="center" wrapText="1" indent="1"/>
    </xf>
    <xf numFmtId="0" fontId="55" fillId="31" borderId="18" xfId="0" applyFont="1" applyFill="1" applyBorder="1" applyAlignment="1">
      <alignment wrapText="1"/>
    </xf>
    <xf numFmtId="0" fontId="55" fillId="31" borderId="19" xfId="0" applyFont="1" applyFill="1" applyBorder="1" applyAlignment="1">
      <alignment wrapText="1"/>
    </xf>
    <xf numFmtId="0" fontId="55" fillId="32" borderId="20" xfId="0" applyFont="1" applyFill="1" applyBorder="1" applyAlignment="1">
      <alignment wrapText="1"/>
    </xf>
    <xf numFmtId="0" fontId="55" fillId="32" borderId="21" xfId="0" applyFont="1" applyFill="1" applyBorder="1" applyAlignment="1">
      <alignment wrapText="1"/>
    </xf>
    <xf numFmtId="0" fontId="57" fillId="33" borderId="21" xfId="0" applyFont="1" applyFill="1" applyBorder="1" applyAlignment="1">
      <alignment wrapText="1"/>
    </xf>
    <xf numFmtId="0" fontId="58" fillId="0" borderId="21" xfId="0" applyFont="1" applyBorder="1" applyAlignment="1">
      <alignment wrapText="1"/>
    </xf>
    <xf numFmtId="0" fontId="59" fillId="37" borderId="21" xfId="0" applyFont="1" applyFill="1" applyBorder="1" applyAlignment="1">
      <alignment wrapText="1"/>
    </xf>
    <xf numFmtId="0" fontId="58" fillId="33" borderId="21" xfId="0" applyFont="1" applyFill="1" applyBorder="1" applyAlignment="1">
      <alignment wrapText="1"/>
    </xf>
    <xf numFmtId="0" fontId="55" fillId="34" borderId="23" xfId="0" applyFont="1" applyFill="1" applyBorder="1" applyAlignment="1">
      <alignment wrapText="1"/>
    </xf>
    <xf numFmtId="0" fontId="57" fillId="29" borderId="21" xfId="0" applyFont="1" applyFill="1" applyBorder="1" applyAlignment="1">
      <alignment wrapText="1"/>
    </xf>
    <xf numFmtId="0" fontId="61" fillId="38" borderId="21" xfId="0" applyFont="1" applyFill="1" applyBorder="1" applyAlignment="1">
      <alignment wrapText="1"/>
    </xf>
    <xf numFmtId="0" fontId="58" fillId="29" borderId="21" xfId="0" applyFont="1" applyFill="1" applyBorder="1" applyAlignment="1">
      <alignment wrapText="1"/>
    </xf>
    <xf numFmtId="0" fontId="55" fillId="35" borderId="23" xfId="0" applyFont="1" applyFill="1" applyBorder="1" applyAlignment="1">
      <alignment wrapText="1"/>
    </xf>
    <xf numFmtId="0" fontId="57" fillId="36" borderId="21" xfId="0" applyFont="1" applyFill="1" applyBorder="1" applyAlignment="1">
      <alignment wrapText="1"/>
    </xf>
    <xf numFmtId="0" fontId="58" fillId="36" borderId="21" xfId="0" applyFont="1" applyFill="1" applyBorder="1" applyAlignment="1">
      <alignment wrapText="1"/>
    </xf>
    <xf numFmtId="0" fontId="55" fillId="35" borderId="21" xfId="0" applyFont="1" applyFill="1" applyBorder="1" applyAlignment="1">
      <alignment wrapText="1"/>
    </xf>
    <xf numFmtId="0" fontId="55" fillId="28" borderId="0" xfId="0" applyFont="1" applyFill="1"/>
    <xf numFmtId="0" fontId="56" fillId="30" borderId="0" xfId="0" applyFont="1" applyFill="1" applyAlignment="1">
      <alignment wrapText="1"/>
    </xf>
    <xf numFmtId="0" fontId="62" fillId="0" borderId="0" xfId="0" applyFont="1"/>
    <xf numFmtId="0" fontId="26" fillId="27" borderId="0" xfId="2" applyFont="1" applyFill="1" applyAlignment="1">
      <alignment horizontal="left" vertical="center" wrapText="1"/>
    </xf>
    <xf numFmtId="0" fontId="54" fillId="39" borderId="9" xfId="2" applyFont="1" applyFill="1" applyBorder="1" applyAlignment="1">
      <alignment vertical="center" wrapText="1" indent="1"/>
    </xf>
    <xf numFmtId="165" fontId="49" fillId="39" borderId="12" xfId="2" applyNumberFormat="1" applyFont="1" applyFill="1" applyBorder="1" applyAlignment="1">
      <alignment horizontal="center" vertical="center"/>
    </xf>
    <xf numFmtId="165" fontId="51" fillId="39" borderId="17" xfId="2" applyNumberFormat="1" applyFont="1" applyFill="1" applyBorder="1" applyAlignment="1">
      <alignment horizontal="center" vertical="center"/>
    </xf>
    <xf numFmtId="0" fontId="49" fillId="39" borderId="14" xfId="2" applyFont="1" applyFill="1" applyBorder="1" applyAlignment="1">
      <alignment horizontal="center" vertical="center"/>
    </xf>
    <xf numFmtId="0" fontId="50" fillId="39" borderId="7" xfId="2" applyFont="1" applyFill="1" applyBorder="1" applyAlignment="1">
      <alignment vertical="center" wrapText="1" indent="1"/>
    </xf>
    <xf numFmtId="0" fontId="53" fillId="39" borderId="7" xfId="2" applyFont="1" applyFill="1" applyBorder="1" applyAlignment="1">
      <alignment vertical="center" wrapText="1" indent="1"/>
    </xf>
    <xf numFmtId="0" fontId="4" fillId="39" borderId="7" xfId="1" applyFill="1" applyBorder="1" applyAlignment="1">
      <alignment vertical="center" wrapText="1" indent="1"/>
    </xf>
    <xf numFmtId="0" fontId="52" fillId="39" borderId="7" xfId="2" applyFont="1" applyFill="1" applyBorder="1" applyAlignment="1">
      <alignment vertical="center" wrapText="1" indent="1"/>
    </xf>
    <xf numFmtId="0" fontId="49" fillId="39" borderId="9" xfId="2" applyFont="1" applyFill="1" applyBorder="1" applyAlignment="1">
      <alignment vertical="center" wrapText="1" indent="1"/>
    </xf>
    <xf numFmtId="0" fontId="0" fillId="39" borderId="14" xfId="2" applyFont="1" applyFill="1" applyBorder="1"/>
    <xf numFmtId="0" fontId="0" fillId="39" borderId="7" xfId="2" applyFont="1" applyFill="1" applyBorder="1"/>
    <xf numFmtId="0" fontId="46" fillId="6" borderId="0" xfId="2" applyFont="1" applyFill="1" applyAlignment="1">
      <alignment vertical="center" wrapText="1" indent="1"/>
    </xf>
    <xf numFmtId="0" fontId="49" fillId="6" borderId="0" xfId="2" applyFont="1" applyFill="1" applyAlignment="1">
      <alignment vertical="center" wrapText="1" indent="1"/>
    </xf>
    <xf numFmtId="165" fontId="49" fillId="6" borderId="10" xfId="2" applyNumberFormat="1" applyFont="1" applyFill="1" applyBorder="1" applyAlignment="1">
      <alignment horizontal="center" vertical="center"/>
    </xf>
    <xf numFmtId="165" fontId="51" fillId="6" borderId="0" xfId="2" applyNumberFormat="1" applyFont="1" applyFill="1" applyAlignment="1">
      <alignment horizontal="center" vertical="center"/>
    </xf>
    <xf numFmtId="165" fontId="51" fillId="6" borderId="15" xfId="2" applyNumberFormat="1" applyFont="1" applyFill="1" applyBorder="1" applyAlignment="1">
      <alignment horizontal="center" vertical="center"/>
    </xf>
    <xf numFmtId="0" fontId="49" fillId="6" borderId="0" xfId="2" applyFont="1" applyFill="1" applyAlignment="1">
      <alignment horizontal="center" vertical="center"/>
    </xf>
    <xf numFmtId="0" fontId="50" fillId="6" borderId="0" xfId="2" applyFont="1" applyFill="1" applyAlignment="1">
      <alignment vertical="center" wrapText="1" indent="1"/>
    </xf>
    <xf numFmtId="0" fontId="53" fillId="6" borderId="0" xfId="2" applyFont="1" applyFill="1" applyAlignment="1">
      <alignment vertical="center" wrapText="1" indent="1"/>
    </xf>
    <xf numFmtId="0" fontId="0" fillId="40" borderId="0" xfId="2" applyFont="1" applyFill="1"/>
    <xf numFmtId="0" fontId="63" fillId="39" borderId="0" xfId="2" applyFont="1" applyFill="1"/>
    <xf numFmtId="0" fontId="64" fillId="40" borderId="0" xfId="2" applyFont="1" applyFill="1"/>
    <xf numFmtId="0" fontId="28" fillId="42" borderId="3" xfId="0" applyFont="1" applyFill="1" applyBorder="1" applyAlignment="1">
      <alignment horizontal="center" vertical="center"/>
    </xf>
    <xf numFmtId="0" fontId="28" fillId="42" borderId="24" xfId="0" applyFont="1" applyFill="1" applyBorder="1" applyAlignment="1">
      <alignment horizontal="center" vertical="center"/>
    </xf>
    <xf numFmtId="0" fontId="32" fillId="0" borderId="4" xfId="0" applyFont="1" applyBorder="1" applyAlignment="1">
      <alignment horizontal="left" vertical="center" wrapText="1" indent="1"/>
    </xf>
    <xf numFmtId="0" fontId="29" fillId="0" borderId="25" xfId="0" applyFont="1" applyBorder="1" applyAlignment="1">
      <alignment horizontal="left" vertical="center" wrapText="1" indent="1"/>
    </xf>
    <xf numFmtId="0" fontId="30" fillId="43" borderId="25" xfId="0" applyFont="1" applyFill="1" applyBorder="1" applyAlignment="1">
      <alignment horizontal="left" vertical="center" wrapText="1" indent="1"/>
    </xf>
    <xf numFmtId="0" fontId="32" fillId="0" borderId="5" xfId="0" applyFont="1" applyBorder="1" applyAlignment="1">
      <alignment horizontal="left" vertical="center" wrapText="1" indent="1"/>
    </xf>
    <xf numFmtId="0" fontId="29" fillId="0" borderId="26" xfId="0" applyFont="1" applyBorder="1" applyAlignment="1">
      <alignment horizontal="left" vertical="center" wrapText="1" indent="1"/>
    </xf>
    <xf numFmtId="0" fontId="30" fillId="43" borderId="26" xfId="0" applyFont="1" applyFill="1" applyBorder="1" applyAlignment="1">
      <alignment horizontal="left" vertical="center" wrapText="1" indent="1"/>
    </xf>
    <xf numFmtId="0" fontId="4" fillId="0" borderId="26" xfId="1" applyBorder="1" applyAlignment="1">
      <alignment horizontal="left" vertical="center" wrapText="1" indent="1"/>
    </xf>
    <xf numFmtId="0" fontId="32" fillId="0" borderId="27" xfId="0" applyFont="1" applyBorder="1" applyAlignment="1">
      <alignment horizontal="left" vertical="center" wrapText="1" indent="1"/>
    </xf>
    <xf numFmtId="0" fontId="29" fillId="0" borderId="28" xfId="0" applyFont="1" applyBorder="1" applyAlignment="1">
      <alignment horizontal="left" vertical="center" wrapText="1" indent="1"/>
    </xf>
    <xf numFmtId="0" fontId="4" fillId="0" borderId="28" xfId="1" applyBorder="1" applyAlignment="1">
      <alignment horizontal="left" vertical="center" wrapText="1" indent="1"/>
    </xf>
    <xf numFmtId="0" fontId="34" fillId="44" borderId="28" xfId="0" applyFont="1" applyFill="1" applyBorder="1" applyAlignment="1">
      <alignment horizontal="left" vertical="center" wrapText="1" indent="1"/>
    </xf>
    <xf numFmtId="0" fontId="30" fillId="43" borderId="28" xfId="0" applyFont="1" applyFill="1" applyBorder="1" applyAlignment="1">
      <alignment horizontal="left" vertical="center" wrapText="1" indent="1"/>
    </xf>
    <xf numFmtId="0" fontId="34" fillId="44" borderId="26" xfId="0" applyFont="1" applyFill="1" applyBorder="1" applyAlignment="1">
      <alignment horizontal="left" vertical="center" wrapText="1" indent="1"/>
    </xf>
    <xf numFmtId="0" fontId="32" fillId="45" borderId="5" xfId="0" applyFont="1" applyFill="1" applyBorder="1" applyAlignment="1">
      <alignment horizontal="left" vertical="center" wrapText="1" indent="1"/>
    </xf>
    <xf numFmtId="0" fontId="29" fillId="45" borderId="26" xfId="0" applyFont="1" applyFill="1" applyBorder="1" applyAlignment="1">
      <alignment horizontal="left" vertical="center" wrapText="1" indent="1"/>
    </xf>
    <xf numFmtId="0" fontId="34" fillId="45" borderId="26" xfId="0" applyFont="1" applyFill="1" applyBorder="1" applyAlignment="1">
      <alignment horizontal="left" vertical="center" wrapText="1" indent="1"/>
    </xf>
    <xf numFmtId="0" fontId="4" fillId="45" borderId="26" xfId="1" applyFill="1" applyBorder="1" applyAlignment="1">
      <alignment horizontal="left" vertical="center" wrapText="1" indent="1"/>
    </xf>
    <xf numFmtId="0" fontId="32" fillId="45" borderId="27" xfId="0" applyFont="1" applyFill="1" applyBorder="1" applyAlignment="1">
      <alignment horizontal="left" vertical="center" wrapText="1" indent="1"/>
    </xf>
    <xf numFmtId="0" fontId="29" fillId="45" borderId="28" xfId="0" applyFont="1" applyFill="1" applyBorder="1" applyAlignment="1">
      <alignment horizontal="left" vertical="center" wrapText="1" indent="1"/>
    </xf>
    <xf numFmtId="0" fontId="34" fillId="45" borderId="28" xfId="0" applyFont="1" applyFill="1" applyBorder="1" applyAlignment="1">
      <alignment horizontal="left" vertical="center" wrapText="1" indent="1"/>
    </xf>
    <xf numFmtId="0" fontId="4" fillId="45" borderId="28" xfId="1" applyFill="1" applyBorder="1" applyAlignment="1">
      <alignment horizontal="left" vertical="center" wrapText="1" indent="1"/>
    </xf>
    <xf numFmtId="0" fontId="48" fillId="6" borderId="0" xfId="2" applyFont="1" applyFill="1" applyAlignment="1">
      <alignment vertical="center" wrapText="1" indent="1"/>
    </xf>
    <xf numFmtId="0" fontId="52" fillId="6" borderId="0" xfId="2" applyFont="1" applyFill="1" applyAlignment="1">
      <alignment vertical="center" wrapText="1" indent="1"/>
    </xf>
    <xf numFmtId="0" fontId="49" fillId="0" borderId="7" xfId="2" applyFont="1" applyBorder="1" applyAlignment="1">
      <alignment vertical="center" wrapText="1" indent="1"/>
    </xf>
    <xf numFmtId="165" fontId="49" fillId="0" borderId="7" xfId="2" applyNumberFormat="1" applyFont="1" applyBorder="1" applyAlignment="1">
      <alignment horizontal="center" vertical="center"/>
    </xf>
    <xf numFmtId="165" fontId="51" fillId="0" borderId="7" xfId="2" applyNumberFormat="1" applyFont="1" applyBorder="1" applyAlignment="1">
      <alignment horizontal="center" vertical="center"/>
    </xf>
    <xf numFmtId="0" fontId="49" fillId="0" borderId="7" xfId="2" applyFont="1" applyBorder="1" applyAlignment="1">
      <alignment horizontal="center" vertical="center"/>
    </xf>
    <xf numFmtId="0" fontId="59" fillId="38" borderId="21" xfId="0" applyFont="1" applyFill="1" applyBorder="1" applyAlignment="1">
      <alignment wrapText="1"/>
    </xf>
    <xf numFmtId="165" fontId="50" fillId="0" borderId="17" xfId="2" applyNumberFormat="1" applyFont="1" applyBorder="1" applyAlignment="1">
      <alignment horizontal="center" vertical="center" wrapText="1"/>
    </xf>
    <xf numFmtId="165" fontId="65" fillId="0" borderId="12" xfId="2" applyNumberFormat="1" applyFont="1" applyBorder="1" applyAlignment="1">
      <alignment horizontal="center" vertical="center"/>
    </xf>
    <xf numFmtId="0" fontId="4" fillId="0" borderId="0" xfId="1" applyAlignment="1">
      <alignment vertical="center" wrapText="1"/>
    </xf>
    <xf numFmtId="165" fontId="66" fillId="0" borderId="17" xfId="2" applyNumberFormat="1" applyFont="1" applyBorder="1" applyAlignment="1">
      <alignment horizontal="center" vertical="center"/>
    </xf>
    <xf numFmtId="0" fontId="9" fillId="8" borderId="0" xfId="0" applyFont="1" applyFill="1"/>
    <xf numFmtId="0" fontId="4" fillId="0" borderId="0" xfId="1" applyFill="1"/>
    <xf numFmtId="0" fontId="13" fillId="46" borderId="0" xfId="0" applyFont="1" applyFill="1"/>
    <xf numFmtId="0" fontId="0" fillId="46" borderId="0" xfId="0" applyFill="1"/>
    <xf numFmtId="0" fontId="69" fillId="0" borderId="0" xfId="0" applyFont="1"/>
    <xf numFmtId="0" fontId="70" fillId="0" borderId="0" xfId="0" applyFont="1"/>
    <xf numFmtId="0" fontId="71" fillId="0" borderId="0" xfId="1" applyFont="1"/>
    <xf numFmtId="0" fontId="23" fillId="8" borderId="0" xfId="0" applyFont="1" applyFill="1"/>
    <xf numFmtId="0" fontId="23" fillId="46" borderId="0" xfId="0" applyFont="1" applyFill="1"/>
    <xf numFmtId="0" fontId="72" fillId="0" borderId="0" xfId="1" applyFont="1"/>
    <xf numFmtId="0" fontId="73" fillId="0" borderId="0" xfId="1" applyFont="1"/>
    <xf numFmtId="0" fontId="9" fillId="47" borderId="0" xfId="0" applyFont="1" applyFill="1"/>
    <xf numFmtId="0" fontId="12" fillId="48" borderId="0" xfId="0" applyFont="1" applyFill="1"/>
    <xf numFmtId="0" fontId="6" fillId="48" borderId="0" xfId="0" applyFont="1" applyFill="1"/>
    <xf numFmtId="0" fontId="68" fillId="48" borderId="0" xfId="0" applyFont="1" applyFill="1"/>
    <xf numFmtId="165" fontId="51" fillId="0" borderId="15" xfId="2" applyNumberFormat="1" applyFont="1" applyBorder="1" applyAlignment="1">
      <alignment horizontal="center" vertical="center"/>
    </xf>
    <xf numFmtId="0" fontId="4" fillId="0" borderId="0" xfId="1" applyBorder="1" applyAlignment="1">
      <alignment vertical="center" wrapText="1" indent="1"/>
    </xf>
    <xf numFmtId="0" fontId="4" fillId="8" borderId="0" xfId="1" applyFill="1"/>
    <xf numFmtId="0" fontId="9" fillId="49" borderId="0" xfId="0" applyFont="1" applyFill="1"/>
    <xf numFmtId="0" fontId="13" fillId="49" borderId="0" xfId="0" applyFont="1" applyFill="1"/>
    <xf numFmtId="0" fontId="74" fillId="0" borderId="0" xfId="1" applyFont="1"/>
    <xf numFmtId="0" fontId="0" fillId="50" borderId="0" xfId="2" applyFont="1" applyFill="1"/>
    <xf numFmtId="0" fontId="46" fillId="0" borderId="0" xfId="2" applyFont="1" applyAlignment="1">
      <alignment vertical="center" wrapText="1" indent="1"/>
    </xf>
    <xf numFmtId="0" fontId="48" fillId="0" borderId="0" xfId="2" applyFont="1" applyAlignment="1">
      <alignment vertical="center" wrapText="1" indent="1"/>
    </xf>
    <xf numFmtId="0" fontId="75" fillId="0" borderId="0" xfId="0" applyFont="1"/>
    <xf numFmtId="165" fontId="49" fillId="39" borderId="12" xfId="2" applyNumberFormat="1" applyFont="1" applyFill="1" applyBorder="1" applyAlignment="1">
      <alignment horizontal="left" vertical="center"/>
    </xf>
    <xf numFmtId="0" fontId="6" fillId="9" borderId="0" xfId="0" applyFont="1" applyFill="1"/>
    <xf numFmtId="0" fontId="0" fillId="51" borderId="0" xfId="0" applyFill="1"/>
    <xf numFmtId="0" fontId="6" fillId="51" borderId="0" xfId="0" applyFont="1" applyFill="1"/>
    <xf numFmtId="0" fontId="0" fillId="0" borderId="0" xfId="0" applyAlignment="1">
      <alignment horizontal="center"/>
    </xf>
    <xf numFmtId="0" fontId="13" fillId="8" borderId="0" xfId="0" applyFont="1" applyFill="1" applyAlignment="1">
      <alignment horizontal="center"/>
    </xf>
    <xf numFmtId="0" fontId="0" fillId="51" borderId="0" xfId="0" applyFill="1" applyAlignment="1">
      <alignment horizontal="center"/>
    </xf>
    <xf numFmtId="0" fontId="6" fillId="51" borderId="0" xfId="0" applyFont="1" applyFill="1" applyAlignment="1">
      <alignment horizontal="center"/>
    </xf>
    <xf numFmtId="0" fontId="0" fillId="3" borderId="0" xfId="0" applyFill="1" applyAlignment="1">
      <alignment horizontal="center"/>
    </xf>
    <xf numFmtId="0" fontId="6" fillId="9" borderId="0" xfId="0" applyFont="1" applyFill="1" applyAlignment="1">
      <alignment horizontal="center"/>
    </xf>
    <xf numFmtId="0" fontId="13" fillId="0" borderId="0" xfId="0" applyFont="1" applyAlignment="1">
      <alignment horizontal="center"/>
    </xf>
    <xf numFmtId="0" fontId="70" fillId="11" borderId="0" xfId="0" applyFont="1" applyFill="1"/>
    <xf numFmtId="0" fontId="13" fillId="11" borderId="0" xfId="0" applyFont="1" applyFill="1"/>
    <xf numFmtId="0" fontId="4" fillId="11" borderId="0" xfId="1" applyFill="1"/>
    <xf numFmtId="0" fontId="0" fillId="11" borderId="0" xfId="0" applyFill="1"/>
    <xf numFmtId="0" fontId="0" fillId="11" borderId="0" xfId="0" applyFill="1" applyAlignment="1">
      <alignment horizontal="center"/>
    </xf>
    <xf numFmtId="0" fontId="9" fillId="11" borderId="0" xfId="0" applyFont="1" applyFill="1" applyAlignment="1">
      <alignment horizontal="center"/>
    </xf>
    <xf numFmtId="0" fontId="13" fillId="11" borderId="0" xfId="0" applyFont="1" applyFill="1" applyAlignment="1">
      <alignment horizontal="center"/>
    </xf>
    <xf numFmtId="0" fontId="46" fillId="23" borderId="0" xfId="2" applyFont="1" applyFill="1" applyAlignment="1">
      <alignment vertical="center" wrapText="1" indent="1"/>
    </xf>
    <xf numFmtId="165" fontId="49" fillId="0" borderId="10" xfId="2" applyNumberFormat="1" applyFont="1" applyBorder="1" applyAlignment="1">
      <alignment horizontal="center" vertical="center"/>
    </xf>
    <xf numFmtId="0" fontId="43" fillId="13" borderId="10" xfId="2" applyFont="1" applyFill="1" applyBorder="1" applyAlignment="1">
      <alignment horizontal="center" vertical="center"/>
    </xf>
    <xf numFmtId="0" fontId="43" fillId="13" borderId="0" xfId="2" applyFont="1" applyFill="1" applyAlignment="1">
      <alignment horizontal="center" vertical="center"/>
    </xf>
    <xf numFmtId="0" fontId="43" fillId="14" borderId="10" xfId="2" applyFont="1" applyFill="1" applyBorder="1" applyAlignment="1">
      <alignment horizontal="center" vertical="center"/>
    </xf>
    <xf numFmtId="0" fontId="43" fillId="14" borderId="0" xfId="2" applyFont="1" applyFill="1" applyAlignment="1">
      <alignment horizontal="center" vertical="center"/>
    </xf>
    <xf numFmtId="0" fontId="43" fillId="16" borderId="10" xfId="2" applyFont="1" applyFill="1" applyBorder="1" applyAlignment="1">
      <alignment horizontal="center" vertical="center"/>
    </xf>
    <xf numFmtId="0" fontId="43" fillId="16" borderId="15" xfId="2" applyFont="1" applyFill="1" applyBorder="1" applyAlignment="1">
      <alignment horizontal="center" vertical="center"/>
    </xf>
    <xf numFmtId="0" fontId="43" fillId="17" borderId="0" xfId="2" applyFont="1" applyFill="1" applyAlignment="1">
      <alignment horizontal="center" vertical="center"/>
    </xf>
    <xf numFmtId="0" fontId="43" fillId="18" borderId="0" xfId="2" applyFont="1" applyFill="1" applyAlignment="1">
      <alignment horizontal="center" vertical="center"/>
    </xf>
    <xf numFmtId="0" fontId="55" fillId="34" borderId="22" xfId="0" applyFont="1" applyFill="1" applyBorder="1" applyAlignment="1">
      <alignment wrapText="1"/>
    </xf>
    <xf numFmtId="0" fontId="55" fillId="34" borderId="20" xfId="0" applyFont="1" applyFill="1" applyBorder="1" applyAlignment="1">
      <alignment wrapText="1"/>
    </xf>
    <xf numFmtId="0" fontId="55" fillId="35" borderId="22" xfId="0" applyFont="1" applyFill="1" applyBorder="1" applyAlignment="1">
      <alignment wrapText="1"/>
    </xf>
    <xf numFmtId="0" fontId="55" fillId="35" borderId="20" xfId="0" applyFont="1" applyFill="1" applyBorder="1" applyAlignment="1">
      <alignment wrapText="1"/>
    </xf>
    <xf numFmtId="0" fontId="11" fillId="0" borderId="0" xfId="0" applyFont="1" applyAlignment="1">
      <alignment textRotation="90" wrapText="1"/>
    </xf>
    <xf numFmtId="0" fontId="27" fillId="12" borderId="0" xfId="2" applyFont="1" applyFill="1" applyAlignment="1">
      <alignment vertical="center" indent="1"/>
    </xf>
    <xf numFmtId="0" fontId="27" fillId="12" borderId="0" xfId="2" applyFont="1" applyFill="1" applyAlignment="1">
      <alignment horizontal="center" vertical="center"/>
    </xf>
    <xf numFmtId="0" fontId="27" fillId="13" borderId="0" xfId="2" applyFont="1" applyFill="1" applyAlignment="1">
      <alignment horizontal="center" vertical="center"/>
    </xf>
    <xf numFmtId="0" fontId="27" fillId="14" borderId="0" xfId="2" applyFont="1" applyFill="1" applyAlignment="1">
      <alignment horizontal="center" vertical="center"/>
    </xf>
    <xf numFmtId="0" fontId="27" fillId="15" borderId="0" xfId="2" applyFont="1" applyFill="1" applyAlignment="1">
      <alignment horizontal="center" vertical="center"/>
    </xf>
    <xf numFmtId="0" fontId="27" fillId="16" borderId="0" xfId="2" applyFont="1" applyFill="1" applyAlignment="1">
      <alignment horizontal="center" vertical="center"/>
    </xf>
    <xf numFmtId="0" fontId="27" fillId="17" borderId="0" xfId="2" applyFont="1" applyFill="1" applyAlignment="1">
      <alignment horizontal="center" vertical="center"/>
    </xf>
    <xf numFmtId="0" fontId="27" fillId="18" borderId="0" xfId="2" applyFont="1" applyFill="1" applyAlignment="1">
      <alignment horizontal="center" vertical="center"/>
    </xf>
    <xf numFmtId="0" fontId="33" fillId="41" borderId="29" xfId="0" applyFont="1" applyFill="1" applyBorder="1" applyAlignment="1">
      <alignment horizontal="left" vertical="center" indent="1"/>
    </xf>
  </cellXfs>
  <cellStyles count="3">
    <cellStyle name="Hyperlink" xfId="1" builtinId="8"/>
    <cellStyle name="Normal" xfId="0" builtinId="0"/>
    <cellStyle name="Normal 2" xfId="2" xr:uid="{0F2465C6-506B-274B-AC88-1B66CE892013}"/>
  </cellStyles>
  <dxfs count="296">
    <dxf>
      <font>
        <b/>
        <color rgb="FF9A9A9A"/>
      </font>
      <fill>
        <patternFill patternType="solid">
          <fgColor rgb="FFF5F5F5"/>
          <bgColor rgb="FFF5F5F5"/>
        </patternFill>
      </fill>
    </dxf>
    <dxf>
      <font>
        <b/>
        <color rgb="FF5F497A"/>
      </font>
      <fill>
        <patternFill patternType="solid">
          <fgColor rgb="FFE6DFF2"/>
          <bgColor rgb="FFE6DFF2"/>
        </patternFill>
      </fill>
    </dxf>
    <dxf>
      <font>
        <b/>
        <color rgb="FF5A5A5A"/>
      </font>
      <fill>
        <patternFill patternType="solid">
          <fgColor rgb="FFEDEDED"/>
          <bgColor rgb="FFEDEDED"/>
        </patternFill>
      </fill>
    </dxf>
    <dxf>
      <font>
        <b/>
        <color rgb="FF9C0006"/>
      </font>
      <fill>
        <patternFill patternType="solid">
          <fgColor rgb="FFFFC7CE"/>
          <bgColor rgb="FFFFC7CE"/>
        </patternFill>
      </fill>
    </dxf>
    <dxf>
      <font>
        <b/>
        <color rgb="FF9C4A06"/>
      </font>
      <fill>
        <patternFill patternType="solid">
          <fgColor rgb="FFFFD9C2"/>
          <bgColor rgb="FFFFD9C2"/>
        </patternFill>
      </fill>
    </dxf>
    <dxf>
      <font>
        <b/>
        <color rgb="FF8A6100"/>
      </font>
      <fill>
        <patternFill patternType="solid">
          <fgColor rgb="FFFFF0B3"/>
          <bgColor rgb="FFFFF0B3"/>
        </patternFill>
      </fill>
    </dxf>
    <dxf>
      <font>
        <b/>
        <color rgb="FF18692B"/>
      </font>
      <fill>
        <patternFill patternType="solid">
          <fgColor rgb="FFD8F0D2"/>
          <bgColor rgb="FFD8F0D2"/>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4"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color rgb="FF9A9A9A"/>
      </font>
      <fill>
        <patternFill patternType="solid">
          <fgColor rgb="FFF5F5F5"/>
          <bgColor rgb="FFF5F5F5"/>
        </patternFill>
      </fill>
    </dxf>
    <dxf>
      <font>
        <b/>
        <color rgb="FF5F497A"/>
      </font>
      <fill>
        <patternFill patternType="solid">
          <fgColor rgb="FFE6DFF2"/>
          <bgColor rgb="FFE6DFF2"/>
        </patternFill>
      </fill>
    </dxf>
    <dxf>
      <font>
        <b/>
        <color rgb="FF5A5A5A"/>
      </font>
      <fill>
        <patternFill patternType="solid">
          <fgColor rgb="FFEDEDED"/>
          <bgColor rgb="FFEDEDED"/>
        </patternFill>
      </fill>
    </dxf>
    <dxf>
      <font>
        <b/>
        <color rgb="FF9C0006"/>
      </font>
      <fill>
        <patternFill patternType="solid">
          <fgColor rgb="FFFFC7CE"/>
          <bgColor rgb="FFFFC7CE"/>
        </patternFill>
      </fill>
    </dxf>
    <dxf>
      <font>
        <b/>
        <color rgb="FF9C4A06"/>
      </font>
      <fill>
        <patternFill patternType="solid">
          <fgColor rgb="FFFFD9C2"/>
          <bgColor rgb="FFFFD9C2"/>
        </patternFill>
      </fill>
    </dxf>
    <dxf>
      <font>
        <b/>
        <color rgb="FF8A6100"/>
      </font>
      <fill>
        <patternFill patternType="solid">
          <fgColor rgb="FFFFF0B3"/>
          <bgColor rgb="FFFFF0B3"/>
        </patternFill>
      </fill>
    </dxf>
    <dxf>
      <font>
        <b/>
        <color rgb="FF18692B"/>
      </font>
      <fill>
        <patternFill patternType="solid">
          <fgColor rgb="FFD8F0D2"/>
          <bgColor rgb="FFD8F0D2"/>
        </patternFill>
      </fill>
    </dxf>
    <dxf>
      <font>
        <b/>
        <color rgb="FF0B6623"/>
      </font>
      <fill>
        <patternFill patternType="solid">
          <fgColor rgb="FFC6EFCE"/>
          <bgColor rgb="FFC6EFCE"/>
        </patternFill>
      </fill>
    </dxf>
    <dxf>
      <font>
        <b/>
        <color rgb="FF9A9A9A"/>
      </font>
      <fill>
        <patternFill patternType="solid">
          <fgColor rgb="FFF5F5F5"/>
          <bgColor rgb="FFF5F5F5"/>
        </patternFill>
      </fill>
    </dxf>
    <dxf>
      <font>
        <b/>
        <color rgb="FF5F497A"/>
      </font>
      <fill>
        <patternFill patternType="solid">
          <fgColor rgb="FFE6DFF2"/>
          <bgColor rgb="FFE6DFF2"/>
        </patternFill>
      </fill>
    </dxf>
    <dxf>
      <font>
        <b/>
        <color rgb="FF5A5A5A"/>
      </font>
      <fill>
        <patternFill patternType="solid">
          <fgColor rgb="FFEDEDED"/>
          <bgColor rgb="FFEDEDED"/>
        </patternFill>
      </fill>
    </dxf>
    <dxf>
      <font>
        <b/>
        <color rgb="FF9C0006"/>
      </font>
      <fill>
        <patternFill patternType="solid">
          <fgColor rgb="FFFFC7CE"/>
          <bgColor rgb="FFFFC7CE"/>
        </patternFill>
      </fill>
    </dxf>
    <dxf>
      <font>
        <b/>
        <color rgb="FF9C4A06"/>
      </font>
      <fill>
        <patternFill patternType="solid">
          <fgColor rgb="FFFFD9C2"/>
          <bgColor rgb="FFFFD9C2"/>
        </patternFill>
      </fill>
    </dxf>
    <dxf>
      <font>
        <b/>
        <color rgb="FF8A6100"/>
      </font>
      <fill>
        <patternFill patternType="solid">
          <fgColor rgb="FFFFF0B3"/>
          <bgColor rgb="FFFFF0B3"/>
        </patternFill>
      </fill>
    </dxf>
    <dxf>
      <font>
        <b/>
        <color rgb="FF18692B"/>
      </font>
      <fill>
        <patternFill patternType="solid">
          <fgColor rgb="FFD8F0D2"/>
          <bgColor rgb="FFD8F0D2"/>
        </patternFill>
      </fill>
    </dxf>
    <dxf>
      <font>
        <b/>
        <color rgb="FF0B6623"/>
      </font>
      <fill>
        <patternFill patternType="solid">
          <fgColor rgb="FFC6EFCE"/>
          <bgColor rgb="FFC6EFCE"/>
        </patternFill>
      </fill>
    </dxf>
    <dxf>
      <font>
        <b/>
        <color rgb="FF9A9A9A"/>
      </font>
      <fill>
        <patternFill patternType="solid">
          <fgColor rgb="FFF5F5F5"/>
          <bgColor rgb="FFF5F5F5"/>
        </patternFill>
      </fill>
    </dxf>
    <dxf>
      <font>
        <b/>
        <color rgb="FF5F497A"/>
      </font>
      <fill>
        <patternFill patternType="solid">
          <fgColor rgb="FFE6DFF2"/>
          <bgColor rgb="FFE6DFF2"/>
        </patternFill>
      </fill>
    </dxf>
    <dxf>
      <font>
        <b/>
        <color rgb="FF5A5A5A"/>
      </font>
      <fill>
        <patternFill patternType="solid">
          <fgColor rgb="FFEDEDED"/>
          <bgColor rgb="FFEDEDED"/>
        </patternFill>
      </fill>
    </dxf>
    <dxf>
      <font>
        <b/>
        <color rgb="FF9C0006"/>
      </font>
      <fill>
        <patternFill patternType="solid">
          <fgColor rgb="FFFFC7CE"/>
          <bgColor rgb="FFFFC7CE"/>
        </patternFill>
      </fill>
    </dxf>
    <dxf>
      <font>
        <b/>
        <color rgb="FF9C4A06"/>
      </font>
      <fill>
        <patternFill patternType="solid">
          <fgColor rgb="FFFFD9C2"/>
          <bgColor rgb="FFFFD9C2"/>
        </patternFill>
      </fill>
    </dxf>
    <dxf>
      <font>
        <b/>
        <color rgb="FF8A6100"/>
      </font>
      <fill>
        <patternFill patternType="solid">
          <fgColor rgb="FFFFF0B3"/>
          <bgColor rgb="FFFFF0B3"/>
        </patternFill>
      </fill>
    </dxf>
    <dxf>
      <font>
        <b/>
        <color rgb="FF18692B"/>
      </font>
      <fill>
        <patternFill patternType="solid">
          <fgColor rgb="FFD8F0D2"/>
          <bgColor rgb="FFD8F0D2"/>
        </patternFill>
      </fill>
    </dxf>
    <dxf>
      <font>
        <b/>
        <color rgb="FF0B6623"/>
      </font>
      <fill>
        <patternFill patternType="solid">
          <fgColor rgb="FFC6EFCE"/>
          <bgColor rgb="FFC6EFCE"/>
        </patternFill>
      </fill>
    </dxf>
    <dxf>
      <font>
        <b/>
        <color rgb="FF9A9A9A"/>
      </font>
      <fill>
        <patternFill patternType="solid">
          <fgColor rgb="FFF5F5F5"/>
          <bgColor rgb="FFF5F5F5"/>
        </patternFill>
      </fill>
    </dxf>
    <dxf>
      <font>
        <b/>
        <color rgb="FF5F497A"/>
      </font>
      <fill>
        <patternFill patternType="solid">
          <fgColor rgb="FFE6DFF2"/>
          <bgColor rgb="FFE6DFF2"/>
        </patternFill>
      </fill>
    </dxf>
    <dxf>
      <font>
        <b/>
        <color rgb="FF5A5A5A"/>
      </font>
      <fill>
        <patternFill patternType="solid">
          <fgColor rgb="FFEDEDED"/>
          <bgColor rgb="FFEDEDED"/>
        </patternFill>
      </fill>
    </dxf>
    <dxf>
      <font>
        <b/>
        <color rgb="FF9C0006"/>
      </font>
      <fill>
        <patternFill patternType="solid">
          <fgColor rgb="FFFFC7CE"/>
          <bgColor rgb="FFFFC7CE"/>
        </patternFill>
      </fill>
    </dxf>
    <dxf>
      <font>
        <b/>
        <color rgb="FF9C4A06"/>
      </font>
      <fill>
        <patternFill patternType="solid">
          <fgColor rgb="FFFFD9C2"/>
          <bgColor rgb="FFFFD9C2"/>
        </patternFill>
      </fill>
    </dxf>
    <dxf>
      <font>
        <b/>
        <color rgb="FF8A6100"/>
      </font>
      <fill>
        <patternFill patternType="solid">
          <fgColor rgb="FFFFF0B3"/>
          <bgColor rgb="FFFFF0B3"/>
        </patternFill>
      </fill>
    </dxf>
    <dxf>
      <font>
        <b/>
        <color rgb="FF18692B"/>
      </font>
      <fill>
        <patternFill patternType="solid">
          <fgColor rgb="FFD8F0D2"/>
          <bgColor rgb="FFD8F0D2"/>
        </patternFill>
      </fill>
    </dxf>
    <dxf>
      <font>
        <b/>
        <color rgb="FF0B6623"/>
      </font>
      <fill>
        <patternFill patternType="solid">
          <fgColor rgb="FFC6EFCE"/>
          <bgColor rgb="FFC6EFCE"/>
        </patternFill>
      </fill>
    </dxf>
    <dxf>
      <font>
        <b/>
        <color rgb="FF9A9A9A"/>
      </font>
      <fill>
        <patternFill patternType="solid">
          <fgColor rgb="FFF5F5F5"/>
          <bgColor rgb="FFF5F5F5"/>
        </patternFill>
      </fill>
    </dxf>
    <dxf>
      <font>
        <b/>
        <color rgb="FF5F497A"/>
      </font>
      <fill>
        <patternFill patternType="solid">
          <fgColor rgb="FFE6DFF2"/>
          <bgColor rgb="FFE6DFF2"/>
        </patternFill>
      </fill>
    </dxf>
    <dxf>
      <font>
        <b/>
        <color rgb="FF5A5A5A"/>
      </font>
      <fill>
        <patternFill patternType="solid">
          <fgColor rgb="FFEDEDED"/>
          <bgColor rgb="FFEDEDED"/>
        </patternFill>
      </fill>
    </dxf>
    <dxf>
      <font>
        <b/>
        <color rgb="FF9C0006"/>
      </font>
      <fill>
        <patternFill patternType="solid">
          <fgColor rgb="FFFFC7CE"/>
          <bgColor rgb="FFFFC7CE"/>
        </patternFill>
      </fill>
    </dxf>
    <dxf>
      <font>
        <b/>
        <color rgb="FF9C4A06"/>
      </font>
      <fill>
        <patternFill patternType="solid">
          <fgColor rgb="FFFFD9C2"/>
          <bgColor rgb="FFFFD9C2"/>
        </patternFill>
      </fill>
    </dxf>
    <dxf>
      <font>
        <b/>
        <color rgb="FF8A6100"/>
      </font>
      <fill>
        <patternFill patternType="solid">
          <fgColor rgb="FFFFF0B3"/>
          <bgColor rgb="FFFFF0B3"/>
        </patternFill>
      </fill>
    </dxf>
    <dxf>
      <font>
        <b/>
        <color rgb="FF18692B"/>
      </font>
      <fill>
        <patternFill patternType="solid">
          <fgColor rgb="FFD8F0D2"/>
          <bgColor rgb="FFD8F0D2"/>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ill>
        <patternFill patternType="solid">
          <fgColor rgb="FFFFF7E0"/>
          <bgColor rgb="FFFFF7E0"/>
        </patternFill>
      </fill>
    </dxf>
    <dxf>
      <font>
        <b/>
        <color rgb="FF8A6100"/>
      </font>
      <fill>
        <patternFill patternType="solid">
          <fgColor rgb="FFFFE9A8"/>
          <bgColor rgb="FFFFE9A8"/>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0B6623"/>
      </font>
      <fill>
        <patternFill patternType="solid">
          <fgColor rgb="FFC6EFCE"/>
          <bgColor rgb="FFC6EFCE"/>
        </patternFill>
      </fill>
    </dxf>
    <dxf>
      <fill>
        <patternFill patternType="solid">
          <fgColor indexed="64"/>
          <bgColor theme="4" tint="0.79998168889431442"/>
        </patternFill>
      </fill>
    </dxf>
    <dxf>
      <font>
        <b val="0"/>
        <i val="0"/>
        <strike val="0"/>
        <condense val="0"/>
        <extend val="0"/>
        <outline val="0"/>
        <shadow val="0"/>
        <u val="none"/>
        <vertAlign val="baseline"/>
        <sz val="10"/>
        <color theme="1"/>
        <name val="Arial"/>
        <scheme val="minor"/>
      </font>
      <numFmt numFmtId="30" formatCode="@"/>
      <alignment horizontal="general" vertical="center" textRotation="0" wrapText="1" indent="0" justifyLastLine="0" shrinkToFit="0" readingOrder="0"/>
    </dxf>
    <dxf>
      <font>
        <color theme="0"/>
      </font>
      <fill>
        <patternFill patternType="solid">
          <fgColor indexed="64"/>
          <bgColor rgb="FF00B050"/>
        </patternFill>
      </fill>
    </dxf>
    <dxf>
      <alignment vertical="center"/>
    </dxf>
    <dxf>
      <alignment vertical="center"/>
    </dxf>
    <dxf>
      <alignment vertical="center"/>
    </dxf>
    <dxf>
      <alignment vertical="center"/>
    </dxf>
    <dxf>
      <font>
        <b val="0"/>
        <i val="0"/>
        <strike val="0"/>
        <condense val="0"/>
        <extend val="0"/>
        <outline val="0"/>
        <shadow val="0"/>
        <u val="none"/>
        <vertAlign val="baseline"/>
        <sz val="10"/>
        <color theme="1"/>
        <name val="Arial"/>
        <scheme val="minor"/>
      </font>
      <numFmt numFmtId="30" formatCode="@"/>
      <alignment horizontal="general" vertical="center" textRotation="0" wrapText="1" indent="0" justifyLastLine="0" shrinkToFit="0" readingOrder="0"/>
    </dxf>
    <dxf>
      <alignment vertical="center"/>
    </dxf>
    <dxf>
      <alignment vertical="center"/>
    </dxf>
    <dxf>
      <alignment vertical="center"/>
    </dxf>
    <dxf>
      <alignment vertical="center"/>
    </dxf>
    <dxf>
      <font>
        <color theme="0"/>
      </font>
      <fill>
        <patternFill patternType="solid">
          <fgColor indexed="64"/>
          <bgColor rgb="FF00B050"/>
        </patternFill>
      </fill>
    </dxf>
    <dxf>
      <font>
        <b/>
        <i val="0"/>
        <strike val="0"/>
        <condense val="0"/>
        <extend val="0"/>
        <outline val="0"/>
        <shadow val="0"/>
        <u val="none"/>
        <vertAlign val="baseline"/>
        <sz val="10"/>
        <color theme="0"/>
        <name val="Arial"/>
        <scheme val="minor"/>
      </font>
      <fill>
        <patternFill patternType="solid">
          <fgColor indexed="64"/>
          <bgColor rgb="FF00B050"/>
        </patternFill>
      </fill>
      <alignment horizontal="left" vertical="center" textRotation="0" wrapText="1" indent="0" justifyLastLine="0" shrinkToFit="0" readingOrder="0"/>
    </dxf>
    <dxf>
      <fill>
        <patternFill patternType="solid">
          <fgColor rgb="FFFFFFFF"/>
          <bgColor rgb="FFFFFFFF"/>
        </patternFill>
      </fill>
    </dxf>
    <dxf>
      <fill>
        <patternFill patternType="solid">
          <fgColor rgb="FFF8F8FF"/>
          <bgColor rgb="FFF8F8FF"/>
        </patternFill>
      </fill>
    </dxf>
    <dxf>
      <fill>
        <patternFill patternType="solid">
          <fgColor rgb="FF435E91"/>
          <bgColor rgb="FF435E91"/>
        </patternFill>
      </fill>
    </dxf>
    <dxf>
      <border>
        <left style="thin">
          <color rgb="FF435E91"/>
        </left>
        <right style="thin">
          <color rgb="FF435E91"/>
        </right>
        <top style="thin">
          <color rgb="FF435E91"/>
        </top>
        <bottom style="thin">
          <color rgb="FF435E91"/>
        </bottom>
      </border>
    </dxf>
    <dxf>
      <fill>
        <patternFill patternType="solid">
          <fgColor rgb="FFFFFFFF"/>
          <bgColor rgb="FFFFFFFF"/>
        </patternFill>
      </fill>
    </dxf>
    <dxf>
      <fill>
        <patternFill patternType="solid">
          <fgColor rgb="FFF8F8FF"/>
          <bgColor rgb="FFF8F8FF"/>
        </patternFill>
      </fill>
    </dxf>
    <dxf>
      <fill>
        <patternFill patternType="solid">
          <fgColor rgb="FF435E91"/>
          <bgColor rgb="FF435E91"/>
        </patternFill>
      </fill>
    </dxf>
    <dxf>
      <border>
        <left style="thin">
          <color rgb="FF435E91"/>
        </left>
        <right style="thin">
          <color rgb="FF435E91"/>
        </right>
        <top style="thin">
          <color rgb="FF435E91"/>
        </top>
        <bottom style="thin">
          <color rgb="FF435E91"/>
        </bottom>
      </border>
    </dxf>
    <dxf>
      <fill>
        <patternFill patternType="solid">
          <fgColor rgb="FFFFFFFF"/>
          <bgColor rgb="FFFFFFFF"/>
        </patternFill>
      </fill>
    </dxf>
    <dxf>
      <fill>
        <patternFill patternType="solid">
          <fgColor rgb="FFF8F8FF"/>
          <bgColor rgb="FFF8F8FF"/>
        </patternFill>
      </fill>
    </dxf>
    <dxf>
      <fill>
        <patternFill patternType="solid">
          <fgColor rgb="FF435E91"/>
          <bgColor rgb="FF435E91"/>
        </patternFill>
      </fill>
    </dxf>
    <dxf>
      <border>
        <left style="thin">
          <color rgb="FF435E91"/>
        </left>
        <right style="thin">
          <color rgb="FF435E91"/>
        </right>
        <top style="thin">
          <color rgb="FF435E91"/>
        </top>
        <bottom style="thin">
          <color rgb="FF435E91"/>
        </bottom>
      </border>
    </dxf>
  </dxfs>
  <tableStyles count="3">
    <tableStyle name="NIMs-style" pivot="0" count="4" xr9:uid="{00000000-0011-0000-FFFF-FFFF00000000}">
      <tableStyleElement type="wholeTable" size="0" dxfId="295"/>
      <tableStyleElement type="headerRow" dxfId="294"/>
      <tableStyleElement type="firstRowStripe" dxfId="293"/>
      <tableStyleElement type="secondRowStripe" dxfId="292"/>
    </tableStyle>
    <tableStyle name="SOTA Model Launches-style" pivot="0" count="4" xr9:uid="{00000000-0011-0000-FFFF-FFFF01000000}">
      <tableStyleElement type="wholeTable" size="0" dxfId="291"/>
      <tableStyleElement type="headerRow" dxfId="290"/>
      <tableStyleElement type="firstRowStripe" dxfId="289"/>
      <tableStyleElement type="secondRowStripe" dxfId="288"/>
    </tableStyle>
    <tableStyle name="Kumo V3 Monolith Launch-style" pivot="0" count="4" xr9:uid="{00000000-0011-0000-FFFF-FFFF02000000}">
      <tableStyleElement type="wholeTable" size="0" dxfId="287"/>
      <tableStyleElement type="headerRow" dxfId="286"/>
      <tableStyleElement type="firstRowStripe" dxfId="285"/>
      <tableStyleElement type="secondRowStripe" dxfId="284"/>
    </tableStyle>
  </tableStyles>
  <colors>
    <mruColors>
      <color rgb="FFE4DFEC"/>
      <color rgb="FFD9E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ocumenttasks/documenttask1.xml><?xml version="1.0" encoding="utf-8"?>
<Tasks xmlns="http://schemas.microsoft.com/office/tasks/2019/documenttasks">
  <Task id="{BBDCDD0B-A345-CE43-99FB-6FA19EAF02D9}">
    <Anchor>
      <Comment id="{C2B65306-34D3-8145-B367-CB2A47A8DCAE}"/>
    </Anchor>
    <History>
      <Event time="2026-08-31T15:58:30.53" id="{F5965E31-F0D9-4546-B3E0-04E2B0F170EE}">
        <Attribution userId="S::jprzybylko@nvidia.com::3690ec21-f466-45ab-84c6-7826ed1cbdd6" userName="Josh Przybylko" userProvider="AD"/>
        <Anchor>
          <Comment id="{C2B65306-34D3-8145-B367-CB2A47A8DCAE}"/>
        </Anchor>
        <Create/>
      </Event>
      <Event time="2026-08-31T15:58:30.53" id="{AB0BE3AD-FEFD-0B40-986D-980DF0D6E94C}">
        <Attribution userId="S::jprzybylko@nvidia.com::3690ec21-f466-45ab-84c6-7826ed1cbdd6" userName="Josh Przybylko" userProvider="AD"/>
        <Anchor>
          <Comment id="{C2B65306-34D3-8145-B367-CB2A47A8DCAE}"/>
        </Anchor>
        <Assign userId="S::joliveira@nvidia.com::b618de87-3dc6-4211-97cb-4a5366d10af0" userName="Joseph Oliveira" userProvider="AD"/>
      </Event>
      <Event time="2026-08-31T15:58:30.53" id="{0BF787F2-5BBB-734C-A97C-89DA0431B90E}">
        <Attribution userId="S::jprzybylko@nvidia.com::3690ec21-f466-45ab-84c6-7826ed1cbdd6" userName="Josh Przybylko" userProvider="AD"/>
        <Anchor>
          <Comment id="{C2B65306-34D3-8145-B367-CB2A47A8DCAE}"/>
        </Anchor>
        <SetTitle title="@Joseph Oliveira I thought the contsainer version was postponed until after the pip install and GTC. Can you update FYI @Said Aram @Effy Fang"/>
      </Event>
      <Event time="2026-09-01T13:21:52.48" id="{44E28F30-5728-4135-B255-731CE942CCBC}">
        <Attribution userId="S::joliveira@nvidia.com::b618de87-3dc6-4211-97cb-4a5366d10af0" userName="Joseph Oliveira" userProvider="AD"/>
        <Progress percentComplete="100"/>
      </Event>
      <Event time="2026-09-01T16:53:35.70" id="{A876C564-4447-F248-AA90-0796D8827D6C}">
        <Attribution userId="S::jprzybylko@nvidia.com::3690ec21-f466-45ab-84c6-7826ed1cbdd6" userName="Josh Przybylko" userProvider="AD"/>
        <Progress percentComplete="0"/>
      </Event>
    </History>
  </Task>
  <Task id="{C75BB84F-652E-DE45-AB22-68DE2D1F13ED}">
    <Anchor>
      <Comment id="{942B598F-9D58-2D46-AC41-DC684569155A}"/>
    </Anchor>
    <History>
      <Event time="2026-08-31T15:58:30.53" id="{F5965E31-F0D9-4546-B3E0-04E2B0F170EE}">
        <Attribution userId="S::jprzybylko@nvidia.com::3690ec21-f466-45ab-84c6-7826ed1cbdd6" userName="Josh Przybylko" userProvider="AD"/>
        <Anchor>
          <Comment id="{942B598F-9D58-2D46-AC41-DC684569155A}"/>
        </Anchor>
        <Create/>
      </Event>
      <Event time="2026-08-31T15:58:30.53" id="{AB0BE3AD-FEFD-0B40-986D-980DF0D6E94C}">
        <Attribution userId="S::jprzybylko@nvidia.com::3690ec21-f466-45ab-84c6-7826ed1cbdd6" userName="Josh Przybylko" userProvider="AD"/>
        <Anchor>
          <Comment id="{942B598F-9D58-2D46-AC41-DC684569155A}"/>
        </Anchor>
        <Assign userId="S::joliveira@nvidia.com::b618de87-3dc6-4211-97cb-4a5366d10af0" userName="Joseph Oliveira" userProvider="AD"/>
      </Event>
      <Event time="2026-08-31T15:58:30.53" id="{0BF787F2-5BBB-734C-A97C-89DA0431B90E}">
        <Attribution userId="S::jprzybylko@nvidia.com::3690ec21-f466-45ab-84c6-7826ed1cbdd6" userName="Josh Przybylko" userProvider="AD"/>
        <Anchor>
          <Comment id="{942B598F-9D58-2D46-AC41-DC684569155A}"/>
        </Anchor>
        <SetTitle title="@Joseph Oliveira I thought the contsainer version was postponed until after the pip install and GTC. Can you update FYI @Said Aram @Effy Fang"/>
      </Event>
    </History>
  </Task>
  <Task id="{AA898F6C-5731-4223-A6F2-3323656E1C13}">
    <Anchor>
      <Comment id="{3267CE86-3EAC-4805-8079-7DBA90FF4023}"/>
    </Anchor>
    <History>
      <Event time="2026-08-31T15:58:30.53" id="{F5965E31-F0D9-4546-B3E0-04E2B0F170EE}">
        <Attribution userId="S::jprzybylko@nvidia.com::3690ec21-f466-45ab-84c6-7826ed1cbdd6" userName="Josh Przybylko" userProvider="AD"/>
        <Anchor>
          <Comment id="{3267CE86-3EAC-4805-8079-7DBA90FF4023}"/>
        </Anchor>
        <Create/>
      </Event>
      <Event time="2026-08-31T15:58:30.53" id="{AB0BE3AD-FEFD-0B40-986D-980DF0D6E94C}">
        <Attribution userId="S::jprzybylko@nvidia.com::3690ec21-f466-45ab-84c6-7826ed1cbdd6" userName="Josh Przybylko" userProvider="AD"/>
        <Anchor>
          <Comment id="{3267CE86-3EAC-4805-8079-7DBA90FF4023}"/>
        </Anchor>
        <Assign userId="S::joliveira@nvidia.com::b618de87-3dc6-4211-97cb-4a5366d10af0" userName="Joseph Oliveira" userProvider="AD"/>
      </Event>
      <Event time="2026-08-31T15:58:30.53" id="{0BF787F2-5BBB-734C-A97C-89DA0431B90E}">
        <Attribution userId="S::jprzybylko@nvidia.com::3690ec21-f466-45ab-84c6-7826ed1cbdd6" userName="Josh Przybylko" userProvider="AD"/>
        <Anchor>
          <Comment id="{3267CE86-3EAC-4805-8079-7DBA90FF4023}"/>
        </Anchor>
        <SetTitle title="@Joseph Oliveira I thought the contsainer version was postponed until after the pip install and GTC. Can you update FYI @Said Aram @Effy Fang"/>
      </Event>
      <Event time="2026-09-01T13:21:52.48" id="{44E28F30-5728-4135-B255-731CE942CCBC}">
        <Attribution userId="S::joliveira@nvidia.com::b618de87-3dc6-4211-97cb-4a5366d10af0" userName="Joseph Oliveira" userProvider="AD"/>
        <Progress percentComplete="100"/>
      </Event>
    </History>
  </Task>
  <Task id="{9F4753BA-589F-504B-AC89-D1E1F34C4207}">
    <Anchor>
      <Comment id="{8FC34ACB-1640-B947-9F4F-52B20AD4C7EB}"/>
    </Anchor>
    <History>
      <Event time="2026-08-31T15:58:30.53" id="{F5965E31-F0D9-4546-B3E0-04E2B0F170EE}">
        <Attribution userId="S::jprzybylko@nvidia.com::3690ec21-f466-45ab-84c6-7826ed1cbdd6" userName="Josh Przybylko" userProvider="AD"/>
        <Anchor>
          <Comment id="{8FC34ACB-1640-B947-9F4F-52B20AD4C7EB}"/>
        </Anchor>
        <Create/>
      </Event>
      <Event time="2026-08-31T15:58:30.53" id="{AB0BE3AD-FEFD-0B40-986D-980DF0D6E94C}">
        <Attribution userId="S::jprzybylko@nvidia.com::3690ec21-f466-45ab-84c6-7826ed1cbdd6" userName="Josh Przybylko" userProvider="AD"/>
        <Anchor>
          <Comment id="{8FC34ACB-1640-B947-9F4F-52B20AD4C7EB}"/>
        </Anchor>
        <Assign userId="S::joliveira@nvidia.com::b618de87-3dc6-4211-97cb-4a5366d10af0" userName="Joseph Oliveira" userProvider="AD"/>
      </Event>
      <Event time="2026-08-31T15:58:30.53" id="{0BF787F2-5BBB-734C-A97C-89DA0431B90E}">
        <Attribution userId="S::jprzybylko@nvidia.com::3690ec21-f466-45ab-84c6-7826ed1cbdd6" userName="Josh Przybylko" userProvider="AD"/>
        <Anchor>
          <Comment id="{8FC34ACB-1640-B947-9F4F-52B20AD4C7EB}"/>
        </Anchor>
        <SetTitle title="@Joseph Oliveira I thought the contsainer version was postponed until after the pip install and GTC. Can you update FYI @Said Aram @Effy Fang"/>
      </Event>
      <Event time="2026-09-01T13:21:52.48" id="{44E28F30-5728-4135-B255-731CE942CCBC}">
        <Attribution userId="S::joliveira@nvidia.com::b618de87-3dc6-4211-97cb-4a5366d10af0" userName="Joseph Oliveira" userProvider="AD"/>
        <Progress percentComplete="100"/>
      </Event>
    </History>
  </Task>
</Tasks>
</file>

<file path=xl/documenttasks/documenttask2.xml><?xml version="1.0" encoding="utf-8"?>
<Tasks xmlns="http://schemas.microsoft.com/office/tasks/2019/documenttasks">
  <Task id="{15266B40-1915-41AE-86F4-9AF2025D42DC}">
    <Anchor>
      <Comment id="{E0AC3CE2-9D5E-4AB2-824F-89A1A462E4E5}"/>
    </Anchor>
    <History>
      <Event time="2026-06-16T13:41:15.55" id="{5BCD7C18-2523-4DA4-8DF2-C83EFB3BBF7D}">
        <Attribution userId="S::hraghavan@nvidia.com::29f93c73-d9e6-430e-b8c5-797e61376946" userName="Hema Raghavan" userProvider="AD"/>
        <Anchor>
          <Comment id="{E0AC3CE2-9D5E-4AB2-824F-89A1A462E4E5}"/>
        </Anchor>
        <Create/>
      </Event>
      <Event time="2026-06-16T13:41:15.55" id="{95AB3863-F23B-48FC-B67F-2245786349EB}">
        <Attribution userId="S::hraghavan@nvidia.com::29f93c73-d9e6-430e-b8c5-797e61376946" userName="Hema Raghavan" userProvider="AD"/>
        <Anchor>
          <Comment id="{E0AC3CE2-9D5E-4AB2-824F-89A1A462E4E5}"/>
        </Anchor>
        <Assign userId="S::saida@nvidia.com::ccbdb633-3540-4aad-9a5a-b79ae75ed8d5" userName="Said Aram" userProvider="AD"/>
      </Event>
      <Event time="2026-06-16T13:41:15.55" id="{C3774166-4891-405B-BE3D-212AA831D8C0}">
        <Attribution userId="S::hraghavan@nvidia.com::29f93c73-d9e6-430e-b8c5-797e61376946" userName="Hema Raghavan" userProvider="AD"/>
        <Anchor>
          <Comment id="{E0AC3CE2-9D5E-4AB2-824F-89A1A462E4E5}"/>
        </Anchor>
        <SetTitle title="@Said Aram and @Josh Przybylkocan we fill rows as much as we know today and all the External Dependency names who are people Josh has met."/>
      </Event>
    </History>
  </Task>
</Tasks>
</file>

<file path=xl/documenttasks/documenttask3.xml><?xml version="1.0" encoding="utf-8"?>
<Tasks xmlns="http://schemas.microsoft.com/office/tasks/2019/documenttasks">
  <Task id="{597235BE-99AE-4D37-9191-A2800FE586B2}">
    <Anchor>
      <Comment id="{E8422CE2-3DD1-4782-A422-D3D50355D70D}"/>
    </Anchor>
    <History>
      <Event time="2026-07-22T19:37:10.45" id="{5EE0914D-76FC-49BC-B0C6-0D3BD86D91E9}">
        <Attribution userId="S::jprzybylko@nvidia.com::3690ec21-f466-45ab-84c6-7826ed1cbdd6" userName="Josh Przybylko" userProvider="AD"/>
        <Anchor>
          <Comment id="{E8422CE2-3DD1-4782-A422-D3D50355D70D}"/>
        </Anchor>
        <Create/>
      </Event>
      <Event time="2026-07-22T19:37:10.45" id="{E516BC49-8555-401C-88D9-3183355D0AF0}">
        <Attribution userId="S::jprzybylko@nvidia.com::3690ec21-f466-45ab-84c6-7826ed1cbdd6" userName="Josh Przybylko" userProvider="AD"/>
        <Anchor>
          <Comment id="{E8422CE2-3DD1-4782-A422-D3D50355D70D}"/>
        </Anchor>
        <Assign userId="S::zdrach@nvidia.com::7a75c9fa-2fbe-43f7-a3df-a9d8cb512814" userName="Zack Drach" userProvider="AD"/>
      </Event>
      <Event time="2026-07-22T19:37:10.45" id="{3B13C1AF-DFA2-4408-A54B-C9593D878F44}">
        <Attribution userId="S::jprzybylko@nvidia.com::3690ec21-f466-45ab-84c6-7826ed1cbdd6" userName="Josh Przybylko" userProvider="AD"/>
        <Anchor>
          <Comment id="{E8422CE2-3DD1-4782-A422-D3D50355D70D}"/>
        </Anchor>
        <SetTitle title="@Zack Drach @Joseph Oliveira When was OSRB submitted and can you link ticket"/>
      </Event>
      <Event time="2026-07-22T19:37:43.57" id="{AF5880BF-4EB5-48E5-9F7A-1E11EC49EBB9}">
        <Attribution userId="S::jprzybylko@nvidia.com::3690ec21-f466-45ab-84c6-7826ed1cbdd6" userName="Josh Przybylko" userProvider="AD"/>
        <Progress percentComplete="100"/>
      </Event>
    </History>
  </Task>
</Tasks>
</file>

<file path=xl/documenttasks/documenttask4.xml><?xml version="1.0" encoding="utf-8"?>
<Tasks xmlns="http://schemas.microsoft.com/office/tasks/2019/documenttasks">
  <Task id="{A701EC90-234F-45C4-87A4-7EABC293505A}">
    <Anchor>
      <Comment id="{EE0B682B-C540-4778-9301-9966759B3E19}"/>
    </Anchor>
    <History>
      <Event time="2026-06-16T13:34:22.91" id="{C8843CDA-3C4A-401F-BB3A-A68BA6771636}">
        <Attribution userId="S::hraghavan@nvidia.com::29f93c73-d9e6-430e-b8c5-797e61376946" userName="Hema Raghavan" userProvider="AD"/>
        <Anchor>
          <Comment id="{EE0B682B-C540-4778-9301-9966759B3E19}"/>
        </Anchor>
        <Create/>
      </Event>
      <Event time="2026-06-16T13:34:22.91" id="{9C5D0E78-4C88-417D-9D97-E0EF2D45A41E}">
        <Attribution userId="S::hraghavan@nvidia.com::29f93c73-d9e6-430e-b8c5-797e61376946" userName="Hema Raghavan" userProvider="AD"/>
        <Anchor>
          <Comment id="{EE0B682B-C540-4778-9301-9966759B3E19}"/>
        </Anchor>
        <Assign userId="S::saida@nvidia.com::ccbdb633-3540-4aad-9a5a-b79ae75ed8d5" userName="Said Aram" userProvider="AD"/>
      </Event>
      <Event time="2026-06-16T13:34:22.91" id="{8C296509-3188-4A3E-939F-A60ED62F9C30}">
        <Attribution userId="S::hraghavan@nvidia.com::29f93c73-d9e6-430e-b8c5-797e61376946" userName="Hema Raghavan" userProvider="AD"/>
        <Anchor>
          <Comment id="{EE0B682B-C540-4778-9301-9966759B3E19}"/>
        </Anchor>
        <SetTitle title="@Said Aram, @Josh Przybylko and @Alex Porter we need to fill these parts out over the next day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28575</xdr:rowOff>
    </xdr:from>
    <xdr:to>
      <xdr:col>10</xdr:col>
      <xdr:colOff>247650</xdr:colOff>
      <xdr:row>40</xdr:row>
      <xdr:rowOff>0</xdr:rowOff>
    </xdr:to>
    <xdr:pic>
      <xdr:nvPicPr>
        <xdr:cNvPr id="9" name="Picture 8">
          <a:extLst>
            <a:ext uri="{FF2B5EF4-FFF2-40B4-BE49-F238E27FC236}">
              <a16:creationId xmlns:a16="http://schemas.microsoft.com/office/drawing/2014/main" id="{1A61355B-2C7A-A825-98AF-CF5FF5C24ADC}"/>
            </a:ext>
          </a:extLst>
        </xdr:cNvPr>
        <xdr:cNvPicPr>
          <a:picLocks noChangeAspect="1"/>
        </xdr:cNvPicPr>
      </xdr:nvPicPr>
      <xdr:blipFill>
        <a:blip xmlns:r="http://schemas.openxmlformats.org/officeDocument/2006/relationships" r:embed="rId1"/>
        <a:stretch>
          <a:fillRect/>
        </a:stretch>
      </xdr:blipFill>
      <xdr:spPr>
        <a:xfrm>
          <a:off x="0" y="1857375"/>
          <a:ext cx="8953500" cy="4991100"/>
        </a:xfrm>
        <a:prstGeom prst="rect">
          <a:avLst/>
        </a:prstGeom>
      </xdr:spPr>
    </xdr:pic>
    <xdr:clientData/>
  </xdr:twoCellAnchor>
  <xdr:twoCellAnchor>
    <xdr:from>
      <xdr:col>1</xdr:col>
      <xdr:colOff>723900</xdr:colOff>
      <xdr:row>17</xdr:row>
      <xdr:rowOff>47625</xdr:rowOff>
    </xdr:from>
    <xdr:to>
      <xdr:col>5</xdr:col>
      <xdr:colOff>19050</xdr:colOff>
      <xdr:row>28</xdr:row>
      <xdr:rowOff>47625</xdr:rowOff>
    </xdr:to>
    <xdr:sp macro="" textlink="">
      <xdr:nvSpPr>
        <xdr:cNvPr id="10" name="Rectangle 9">
          <a:extLst>
            <a:ext uri="{FF2B5EF4-FFF2-40B4-BE49-F238E27FC236}">
              <a16:creationId xmlns:a16="http://schemas.microsoft.com/office/drawing/2014/main" id="{F7B7A8B5-1682-0879-E309-766126B8BC4F}"/>
            </a:ext>
            <a:ext uri="{147F2762-F138-4A5C-976F-8EAC2B608ADB}">
              <a16:predDERef xmlns:a16="http://schemas.microsoft.com/office/drawing/2014/main" pred="{1A61355B-2C7A-A825-98AF-CF5FF5C24ADC}"/>
            </a:ext>
          </a:extLst>
        </xdr:cNvPr>
        <xdr:cNvSpPr/>
      </xdr:nvSpPr>
      <xdr:spPr>
        <a:xfrm>
          <a:off x="1752600" y="3171825"/>
          <a:ext cx="3752850" cy="17811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persons/person.xml><?xml version="1.0" encoding="utf-8"?>
<personList xmlns="http://schemas.microsoft.com/office/spreadsheetml/2018/threadedcomments" xmlns:x="http://schemas.openxmlformats.org/spreadsheetml/2006/main">
  <person displayName="Matthias Fey" id="{3C0B3900-3788-AB4A-8151-64EE366E2A42}" userId="mfey@nvidia.com" providerId="PeoplePicker"/>
  <person displayName="Said Aram" id="{A0AA53FB-AF26-41A0-87CD-D51AC20F7F55}" userId="saida@nvidia.com" providerId="PeoplePicker"/>
  <person displayName="Effy Fang" id="{60DAE4D4-6629-784F-85F4-947346F2D78A}" userId="hefeif@nvidia.com" providerId="PeoplePicker"/>
  <person displayName="Zack Drach" id="{8793A613-13AF-4654-8606-8A6FFA077AC7}" userId="zdrach@nvidia.com" providerId="PeoplePicker"/>
  <person displayName="Alex Porter" id="{C000615D-0624-401F-AE31-0319FC83783B}" userId="aporter@nvidia.com" providerId="PeoplePicker"/>
  <person displayName="Hema Raghavan" id="{93A94EDA-C102-C04D-915F-9B44431EDC18}" userId="hraghavan@nvidia.com" providerId="PeoplePicker"/>
  <person displayName="Joseph Oliveira" id="{AB2FCDF9-F300-4E3F-9ADF-C73F1A7E1B2E}" userId="joliveira@nvidia.com" providerId="PeoplePicker"/>
  <person displayName="Josh Przybylko" id="{E5CBC894-7EA9-42CD-9C12-1569496BE65A}" userId="jprzybylko@nvidia.com" providerId="PeoplePicker"/>
  <person displayName="Aleksandar Sokolovski (cw)" id="{3AA97587-AF42-B34E-BC44-8C0E33B48738}" userId="asokolovski@nvidia.com" providerId="PeoplePicker"/>
  <person displayName="Said Aram" id="{AC10B847-6396-CB48-B8B0-6D46D403B6E0}" userId="S::saida@nvidia.com::ccbdb633-3540-4aad-9a5a-b79ae75ed8d5" providerId="AD"/>
  <person displayName="Effy Fang" id="{9934482F-CF7F-40E6-BC89-BC4252E25772}" userId="S::hefeif@nvidia.com::b1e7f76c-471b-4824-9212-027f770f3946" providerId="AD"/>
  <person displayName="Hema Raghavan" id="{0CC5D824-A3EB-4022-8DFA-CD0718633F7C}" userId="S::hraghavan@nvidia.com::29f93c73-d9e6-430e-b8c5-797e61376946" providerId="AD"/>
  <person displayName="Joseph Oliveira" id="{3CD26481-A223-4931-A42E-1CB17ED29B4E}" userId="S::joliveira@nvidia.com::b618de87-3dc6-4211-97cb-4a5366d10af0" providerId="AD"/>
  <person displayName="Josh Przybylko" id="{49CF0405-E677-4E1F-84D8-FA64628A4F9D}" userId="S::jprzybylko@nvidia.com::3690ec21-f466-45ab-84c6-7826ed1cbdd6" providerId="AD"/>
  <person displayName="Aleksandar Sokolovski (cw)" id="{01693FD2-0C0B-4297-852F-726E54EAA899}" userId="S::asokolovski@nvidia.com::9ee23e1f-6153-4113-b7c2-0a60df87620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2EDF8E-89FF-4D3D-82D8-2E31CFE773A8}" name="Table4" displayName="Table4" ref="A1:F20" totalsRowShown="0" headerRowDxfId="270">
  <autoFilter ref="A1:F20" xr:uid="{C42EDF8E-89FF-4D3D-82D8-2E31CFE773A8}"/>
  <tableColumns count="6">
    <tableColumn id="1" xr3:uid="{08409DCB-5679-410D-8BDF-4C814628938C}" name="Release NAME"/>
    <tableColumn id="2" xr3:uid="{5E1E4AE1-FC52-4DDB-A10E-2CD61F0DDDFA}" name="ETA"/>
    <tableColumn id="3" xr3:uid="{68CA77BE-4598-4B2D-AB64-DC4A72465EFB}" name="Status"/>
    <tableColumn id="4" xr3:uid="{1BE6956A-EB61-4383-AA0D-9CF8B247DA6B}" name="PIC"/>
    <tableColumn id="5" xr3:uid="{4757D0D3-FFDB-4C16-AA93-F0523A1A8D90}" name="Notes"/>
    <tableColumn id="6" xr3:uid="{A7A45645-41E8-403C-A3E9-76E79583963A}" name="LINKS"/>
  </tableColumns>
  <tableStyleInfo name="NIMs-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 displayName="Table2" ref="B6:H46" headerRowDxfId="283">
  <tableColumns count="7">
    <tableColumn id="1" xr3:uid="{00000000-0010-0000-0200-000001000000}" name="Task"/>
    <tableColumn id="2" xr3:uid="{00000000-0010-0000-0200-000002000000}" name="Workstream"/>
    <tableColumn id="3" xr3:uid="{00000000-0010-0000-0200-000003000000}" name="Assignee"/>
    <tableColumn id="4" xr3:uid="{00000000-0010-0000-0200-000004000000}" name="External Dependency"/>
    <tableColumn id="5" xr3:uid="{00000000-0010-0000-0200-000005000000}" name="Target Date"/>
    <tableColumn id="6" xr3:uid="{00000000-0010-0000-0200-000006000000}" name="Status"/>
    <tableColumn id="7" xr3:uid="{00000000-0010-0000-0200-000007000000}" name="Details"/>
  </tableColumns>
  <tableStyleInfo name="Kumo V3 Monolith Launch-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B6:I37" headerRowDxfId="282" dataDxfId="281">
  <tableColumns count="8">
    <tableColumn id="1" xr3:uid="{00000000-0010-0000-0100-000001000000}" name="Task" dataDxfId="280"/>
    <tableColumn id="2" xr3:uid="{00000000-0010-0000-0100-000002000000}" name="Workstream" dataDxfId="279"/>
    <tableColumn id="3" xr3:uid="{00000000-0010-0000-0100-000003000000}" name="Assignee" dataDxfId="278"/>
    <tableColumn id="8" xr3:uid="{46D84DE5-7170-483D-B22F-41AFA3C96F65}" name="External Dependency" dataDxfId="277"/>
    <tableColumn id="4" xr3:uid="{00000000-0010-0000-0100-000004000000}" name="Target Date" dataDxfId="276"/>
    <tableColumn id="5" xr3:uid="{00000000-0010-0000-0100-000005000000}" name="Status" dataDxfId="275"/>
    <tableColumn id="6" xr3:uid="{00000000-0010-0000-0100-000006000000}" name="Details" dataDxfId="274"/>
    <tableColumn id="7" xr3:uid="{00000000-0010-0000-0100-000007000000}" name="Notes" dataDxfId="273"/>
  </tableColumns>
  <tableStyleInfo name="SOTA Model Launch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IMTracker" displayName="NIMTracker" ref="B6:J39" headerRowDxfId="272">
  <tableColumns count="9">
    <tableColumn id="1" xr3:uid="{00000000-0010-0000-0000-000001000000}" name="Task"/>
    <tableColumn id="2" xr3:uid="{00000000-0010-0000-0000-000002000000}" name="Workstream"/>
    <tableColumn id="3" xr3:uid="{00000000-0010-0000-0000-000003000000}" name="Assignee"/>
    <tableColumn id="10" xr3:uid="{D62D3F58-EF06-407E-8035-20479B478A32}" name="External Dependency (person/team)" dataDxfId="271"/>
    <tableColumn id="4" xr3:uid="{00000000-0010-0000-0000-000004000000}" name="Target Date"/>
    <tableColumn id="5" xr3:uid="{00000000-0010-0000-0000-000005000000}" name="Status"/>
    <tableColumn id="6" xr3:uid="{00000000-0010-0000-0000-000006000000}" name="Details"/>
    <tableColumn id="7" xr3:uid="{00000000-0010-0000-0000-000007000000}" name="Notes"/>
    <tableColumn id="8" xr3:uid="{00000000-0010-0000-0000-000008000000}" name="Links"/>
  </tableColumns>
  <tableStyleInfo name="NIM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4" dT="2026-08-31T15:58:30.54" personId="{49CF0405-E677-4E1F-84D8-FA64628A4F9D}" id="{C2B65306-34D3-8145-B367-CB2A47A8DCAE}">
    <text>@Joseph Oliveira I thought the contsainer version was postponed until after the pip install and GTC. Can you update
FYI @Said Aram @Effy Fang</text>
    <mentions>
      <mention mentionpersonId="{AB2FCDF9-F300-4E3F-9ADF-C73F1A7E1B2E}" mentionId="{2A4DB508-1885-704C-8EEE-55A4968C4AF6}" startIndex="0" length="16"/>
      <mention mentionpersonId="{A0AA53FB-AF26-41A0-87CD-D51AC20F7F55}" mentionId="{441AEE04-B519-2F41-A832-D7F773183C2D}" startIndex="121" length="10"/>
      <mention mentionpersonId="{60DAE4D4-6629-784F-85F4-947346F2D78A}" mentionId="{0C5F4906-1FE9-834A-80C6-F79548710205}" startIndex="132" length="10"/>
    </mentions>
  </threadedComment>
  <threadedComment ref="G14" dT="2026-08-31T16:50:37.47" personId="{3CD26481-A223-4931-A42E-1CB17ED29B4E}" id="{1D2F35A8-8EFC-D342-8E6E-24A6075F3F40}" parentId="{C2B65306-34D3-8145-B367-CB2A47A8DCAE}">
    <text xml:space="preserve">The containers and pip install share the same kumo-core engine. 
Beyond the OSRB/License(s) - there is no other additional work required + we are still targeting EA for NPCI, Santander, Paypal. </text>
  </threadedComment>
  <threadedComment ref="G14" dT="2026-09-01T01:22:02.41" personId="{49CF0405-E677-4E1F-84D8-FA64628A4F9D}" id="{6EC9F61E-7321-EC49-AD43-4D7B11D74790}" parentId="{C2B65306-34D3-8145-B367-CB2A47A8DCAE}">
    <text xml:space="preserve">@Joseph Oliveira I am a tad still unclear. 
The container contains way more than just "Kumo core" It contains temporal, the UI, StateDB, queues, Jana's Auth and groups stuff etc etc .. a much larger code base to test
If core is not code complete until Wed 30th (and by the way that scope excludes things like explainability which the UI assumes .. wont the UI be tots broken?
So When is EA go date and is there a seperate OSRB ticket?
</text>
    <mentions>
      <mention mentionpersonId="{AB2FCDF9-F300-4E3F-9ADF-C73F1A7E1B2E}" mentionId="{C7ABD2A0-B15A-E34B-962A-9C00C77BB419}" startIndex="0" length="16"/>
    </mentions>
  </threadedComment>
  <threadedComment ref="G14" dT="2026-09-01T02:48:45.66" personId="{49CF0405-E677-4E1F-84D8-FA64628A4F9D}" id="{9522B749-29E9-2949-B259-CC418AA6311A}" parentId="{C2B65306-34D3-8145-B367-CB2A47A8DCAE}">
    <text xml:space="preserve">@Joseph Oliveira @Effy Fang I split out EA for Kumo 3 Studio container and GA
The GA line is row 47 (or thereabouts) below
If the EA container is not happening we can delete this row
If date is wrong let me know
I dont want to add this to the Oct deliverables as October is already massive and this is not part of GTC scope
 -- its either September or after October (GTC)
FYI @Said Aram @Hema Raghavan
</text>
    <mentions>
      <mention mentionpersonId="{AB2FCDF9-F300-4E3F-9ADF-C73F1A7E1B2E}" mentionId="{FB4B4939-5E77-D743-B072-42E831592647}" startIndex="0" length="16"/>
      <mention mentionpersonId="{60DAE4D4-6629-784F-85F4-947346F2D78A}" mentionId="{ED7449BB-4AC1-834B-8EB2-1A061827DBFD}" startIndex="17" length="10"/>
      <mention mentionpersonId="{A0AA53FB-AF26-41A0-87CD-D51AC20F7F55}" mentionId="{8FB6D9F3-98A7-AB4A-BCFC-9558D4CDECDC}" startIndex="382" length="10"/>
      <mention mentionpersonId="{93A94EDA-C102-C04D-915F-9B44431EDC18}" mentionId="{F1755BFA-2B19-2545-8FA4-99E147E52B0F}" startIndex="393" length="14"/>
    </mentions>
  </threadedComment>
  <threadedComment ref="G14" dT="2026-09-01T13:18:34.02" personId="{3CD26481-A223-4931-A42E-1CB17ED29B4E}" id="{CF843CE6-BB31-46B0-9A60-03B2FDEFB07A}" parentId="{C2B65306-34D3-8145-B367-CB2A47A8DCAE}">
    <text>New OSRB ticket: https://nvbugspro.nvidia.com/bug/6619129</text>
  </threadedComment>
  <threadedComment ref="G14" dT="2026-09-01T13:19:33.51" personId="{3CD26481-A223-4931-A42E-1CB17ED29B4E}" id="{72A33EB4-BA30-4371-AD14-4E638F7072CA}" parentId="{C2B65306-34D3-8145-B367-CB2A47A8DCAE}">
    <text>OSRB ticket is current blocked by DGPTT ticket: https://jirasw.nvidia.com/browse/DGPTT-5740</text>
  </threadedComment>
  <threadedComment ref="G14" dT="2026-09-01T13:20:47.59" personId="{3CD26481-A223-4931-A42E-1CB17ED29B4E}" id="{EB8CBB80-4A38-402B-83BF-3D7E6030223E}" parentId="{C2B65306-34D3-8145-B367-CB2A47A8DCAE}">
    <text xml:space="preserve">Target EA depends on OSRB approval and publishing containers to NGC. 
Given there is no SLA provided here, my best estimate is unhelpful. 
I can provide daily updates instead. </text>
  </threadedComment>
  <threadedComment ref="G14" dT="2026-09-01T16:54:05.63" personId="{49CF0405-E677-4E1F-84D8-FA64628A4F9D}" id="{2328EE5D-8E7F-5041-8D85-205790E847EC}" parentId="{C2B65306-34D3-8145-B367-CB2A47A8DCAE}">
    <text xml:space="preserve">@Joseph Oliveira can you add this new ticket to the Tickets for GTC tab please. Or confirm that I have added it correctly
</text>
    <mentions>
      <mention mentionpersonId="{AB2FCDF9-F300-4E3F-9ADF-C73F1A7E1B2E}" mentionId="{B2625820-32C0-AC44-93AB-4830EC64EF76}" startIndex="0" length="16"/>
    </mentions>
  </threadedComment>
  <threadedComment ref="G15" dT="2026-08-31T15:58:30.54" personId="{49CF0405-E677-4E1F-84D8-FA64628A4F9D}" id="{8FC34ACB-1640-B947-9F4F-52B20AD4C7EB}" done="1">
    <text>@Joseph Oliveira I thought the contsainer version was postponed until after the pip install and GTC. Can you update
FYI @Said Aram @Effy Fang</text>
    <mentions>
      <mention mentionpersonId="{AB2FCDF9-F300-4E3F-9ADF-C73F1A7E1B2E}" mentionId="{ADEF268A-3D79-AB46-A2FC-7838E3318C1C}" startIndex="0" length="16"/>
      <mention mentionpersonId="{A0AA53FB-AF26-41A0-87CD-D51AC20F7F55}" mentionId="{924303F1-AAC0-7F4D-89A4-40D372EC7AFC}" startIndex="121" length="10"/>
      <mention mentionpersonId="{60DAE4D4-6629-784F-85F4-947346F2D78A}" mentionId="{56A0F203-38C5-3644-A789-062B976D0B33}" startIndex="132" length="10"/>
    </mentions>
  </threadedComment>
  <threadedComment ref="G15" dT="2026-08-31T16:50:37.47" personId="{3CD26481-A223-4931-A42E-1CB17ED29B4E}" id="{0965D406-3F5F-6344-A34F-8E83B7BD9AB9}" parentId="{8FC34ACB-1640-B947-9F4F-52B20AD4C7EB}">
    <text xml:space="preserve">The containers and pip install share the same kumo-core engine. 
Beyond the OSRB/License(s) - there is no other additional work required + we are still targeting EA for NPCI, Santander, Paypal. </text>
  </threadedComment>
  <threadedComment ref="G15" dT="2026-09-01T01:22:02.41" personId="{49CF0405-E677-4E1F-84D8-FA64628A4F9D}" id="{8DEE6138-3EB5-0F41-B886-E735CEB06EA7}" parentId="{8FC34ACB-1640-B947-9F4F-52B20AD4C7EB}">
    <text xml:space="preserve">@Joseph Oliveira I am a tad still unclear. 
The container contains way more than just "Kumo core" It contains temporal, the UI, StateDB, queues, Jana's Auth and groups stuff etc etc .. a much larger code base to test
If core is not code complete until Wed 30th (and by the way that scope excludes things like explainability which the UI assumes .. wont the UI be tots broken?
So When is EA go date and is there a seperate OSRB ticket?
</text>
    <mentions>
      <mention mentionpersonId="{AB2FCDF9-F300-4E3F-9ADF-C73F1A7E1B2E}" mentionId="{3EBE6501-8628-1647-9B65-8B3605F759A2}" startIndex="0" length="16"/>
    </mentions>
  </threadedComment>
  <threadedComment ref="G15" dT="2026-09-01T02:48:45.66" personId="{49CF0405-E677-4E1F-84D8-FA64628A4F9D}" id="{F89498D4-ED3C-2A44-96C1-CB763CF0F916}" parentId="{8FC34ACB-1640-B947-9F4F-52B20AD4C7EB}">
    <text xml:space="preserve">@Joseph Oliveira @Effy Fang I split out EA for Kumo 3 Studio container and GA
The GA line is row 47 (or thereabouts) below
If the EA container is not happening we can delete this row
If date is wrong let me know
I dont want to add this to the Oct deliverables as October is already massive and this is not part of GTC scope
 -- its either September or after October (GTC)
FYI @Said Aram @Hema Raghavan
</text>
    <mentions>
      <mention mentionpersonId="{AB2FCDF9-F300-4E3F-9ADF-C73F1A7E1B2E}" mentionId="{D600DC8B-3AAF-8447-838E-0E868019F2F7}" startIndex="0" length="16"/>
      <mention mentionpersonId="{60DAE4D4-6629-784F-85F4-947346F2D78A}" mentionId="{DE66C1FF-F611-4D4C-B416-3E57897B886E}" startIndex="17" length="10"/>
      <mention mentionpersonId="{A0AA53FB-AF26-41A0-87CD-D51AC20F7F55}" mentionId="{4AC014D0-9E3E-404E-8334-CDDC499C6FF3}" startIndex="382" length="10"/>
      <mention mentionpersonId="{93A94EDA-C102-C04D-915F-9B44431EDC18}" mentionId="{6E4F45DE-847C-DB41-A562-3631180FFE5F}" startIndex="393" length="14"/>
    </mentions>
  </threadedComment>
  <threadedComment ref="G15" dT="2026-09-01T13:18:34.02" personId="{3CD26481-A223-4931-A42E-1CB17ED29B4E}" id="{664CB650-E563-FB4D-9A9B-4A5A40917E23}" parentId="{8FC34ACB-1640-B947-9F4F-52B20AD4C7EB}">
    <text>New OSRB ticket: https://nvbugspro.nvidia.com/bug/6619129</text>
  </threadedComment>
  <threadedComment ref="G15" dT="2026-09-01T13:19:33.51" personId="{3CD26481-A223-4931-A42E-1CB17ED29B4E}" id="{6BAE2D7E-C944-5C40-A9D6-9EE0051EA706}" parentId="{8FC34ACB-1640-B947-9F4F-52B20AD4C7EB}">
    <text>OSRB ticket is current blocked by DGPTT ticket: https://jirasw.nvidia.com/browse/DGPTT-5740</text>
  </threadedComment>
  <threadedComment ref="G15" dT="2026-09-01T13:20:47.59" personId="{3CD26481-A223-4931-A42E-1CB17ED29B4E}" id="{AF71FB3D-2282-C947-98AD-BFF068113378}" parentId="{8FC34ACB-1640-B947-9F4F-52B20AD4C7EB}">
    <text xml:space="preserve">Target EA depends on OSRB approval and publishing containers to NGC. 
Given there is no SLA provided here, my best estimate is unhelpful. 
I can provide daily updates instead. </text>
  </threadedComment>
  <threadedComment ref="G16" dT="2026-08-31T15:58:30.54" personId="{49CF0405-E677-4E1F-84D8-FA64628A4F9D}" id="{3267CE86-3EAC-4805-8079-7DBA90FF4023}" done="1">
    <text>@Joseph Oliveira I thought the contsainer version was postponed until after the pip install and GTC. Can you update
FYI @Said Aram @Effy Fang</text>
    <mentions>
      <mention mentionpersonId="{AB2FCDF9-F300-4E3F-9ADF-C73F1A7E1B2E}" mentionId="{B9372FF9-00AB-4F2A-A59B-B20BE62B0081}" startIndex="0" length="16"/>
      <mention mentionpersonId="{A0AA53FB-AF26-41A0-87CD-D51AC20F7F55}" mentionId="{8F618DD6-AB4D-4E88-AC1F-AD4724BCDFC0}" startIndex="121" length="10"/>
      <mention mentionpersonId="{60DAE4D4-6629-784F-85F4-947346F2D78A}" mentionId="{0BFDA3C9-A95D-4D5B-8A0B-900929D51407}" startIndex="132" length="10"/>
    </mentions>
  </threadedComment>
  <threadedComment ref="G16" dT="2026-08-31T16:50:37.47" personId="{3CD26481-A223-4931-A42E-1CB17ED29B4E}" id="{05DB114C-D6B5-4B88-AE98-01D0421BDCE3}" parentId="{3267CE86-3EAC-4805-8079-7DBA90FF4023}">
    <text xml:space="preserve">The containers and pip install share the same kumo-core engine. 
Beyond the OSRB/License(s) - there is no other additional work required + we are still targeting EA for NPCI, Santander, Paypal. </text>
  </threadedComment>
  <threadedComment ref="G16" dT="2026-09-01T01:22:02.41" personId="{49CF0405-E677-4E1F-84D8-FA64628A4F9D}" id="{D7E259D6-17BE-409A-8C05-B3DD731EDAE1}" parentId="{3267CE86-3EAC-4805-8079-7DBA90FF4023}">
    <text xml:space="preserve">@Joseph Oliveira I am a tad still unclear. 
The container contains way more than just "Kumo core" It contains temporal, the UI, StateDB, queues, Jana's Auth and groups stuff etc etc .. a much larger code base to test
If core is not code complete until Wed 30th (and by the way that scope excludes things like explainability which the UI assumes .. wont the UI be tots broken?
So When is EA go date and is there a seperate OSRB ticket?
</text>
    <mentions>
      <mention mentionpersonId="{AB2FCDF9-F300-4E3F-9ADF-C73F1A7E1B2E}" mentionId="{A22A35C6-78E7-4EB8-8C2B-1DD05058B36E}" startIndex="0" length="16"/>
    </mentions>
  </threadedComment>
  <threadedComment ref="G16" dT="2026-09-01T02:48:45.66" personId="{49CF0405-E677-4E1F-84D8-FA64628A4F9D}" id="{1724C745-DCB5-4D21-A33D-0F9D7628C214}" parentId="{3267CE86-3EAC-4805-8079-7DBA90FF4023}">
    <text xml:space="preserve">@Joseph Oliveira @Effy Fang I split out EA for Kumo 3 Studio container and GA
The GA line is row 47 (or thereabouts) below
If the EA container is not happening we can delete this row
If date is wrong let me know
I dont want to add this to the Oct deliverables as October is already massive and this is not part of GTC scope
 -- its either September or after October (GTC)
FYI @Said Aram @Hema Raghavan
</text>
    <mentions>
      <mention mentionpersonId="{AB2FCDF9-F300-4E3F-9ADF-C73F1A7E1B2E}" mentionId="{1D7F44F8-9A34-4798-BECE-C26FEAB9BB9E}" startIndex="0" length="16"/>
      <mention mentionpersonId="{60DAE4D4-6629-784F-85F4-947346F2D78A}" mentionId="{01A90A28-CD84-4CC5-9861-579E40ABC5B7}" startIndex="17" length="10"/>
      <mention mentionpersonId="{A0AA53FB-AF26-41A0-87CD-D51AC20F7F55}" mentionId="{B953EC25-74BE-474A-9D42-206B56D2A787}" startIndex="382" length="10"/>
      <mention mentionpersonId="{93A94EDA-C102-C04D-915F-9B44431EDC18}" mentionId="{6B302A98-B6FE-4CE0-9B88-4EFE153D265F}" startIndex="393" length="14"/>
    </mentions>
  </threadedComment>
  <threadedComment ref="G16" dT="2026-09-01T13:18:34.02" personId="{3CD26481-A223-4931-A42E-1CB17ED29B4E}" id="{CE571893-AB0D-4255-BF4C-306513BEE4C1}" parentId="{3267CE86-3EAC-4805-8079-7DBA90FF4023}">
    <text>New OSRB ticket: https://nvbugspro.nvidia.com/bug/6619129</text>
  </threadedComment>
  <threadedComment ref="G16" dT="2026-09-01T13:19:33.51" personId="{3CD26481-A223-4931-A42E-1CB17ED29B4E}" id="{A78EE0A8-F856-42DC-B8DF-74CE1310C781}" parentId="{3267CE86-3EAC-4805-8079-7DBA90FF4023}">
    <text>OSRB ticket is current blocked by DGPTT ticket: https://jirasw.nvidia.com/browse/DGPTT-5740</text>
  </threadedComment>
  <threadedComment ref="G16" dT="2026-09-01T13:20:47.59" personId="{3CD26481-A223-4931-A42E-1CB17ED29B4E}" id="{44D27215-051B-4A04-A018-B714DD6A76A1}" parentId="{3267CE86-3EAC-4805-8079-7DBA90FF4023}">
    <text xml:space="preserve">Target EA depends on OSRB approval and publishing containers to NGC. 
Given there is no SLA provided here, my best estimate is unhelpful. 
I can provide daily updates instead. </text>
  </threadedComment>
  <threadedComment ref="E25" dT="2026-10-19T14:55:24.28" personId="{9934482F-CF7F-40E6-BC89-BC4252E25772}" id="{509DE799-0642-4301-9589-BD4155F8E9A3}">
    <text>see susan's message in #ext-snowflake-nvidia. there's no ETA from sf side</text>
  </threadedComment>
  <threadedComment ref="F26" dT="2026-09-03T18:30:22.48" personId="{AC10B847-6396-CB48-B8B0-6D46D403B6E0}" id="{A326B18E-D7A5-5B4A-A29D-E14D4E123408}">
    <text>New row @Aleksandar Sokolovski (cw) to PIC and update</text>
    <mentions>
      <mention mentionpersonId="{3AA97587-AF42-B34E-BC44-8C0E33B48738}" mentionId="{C69D20D3-C892-B045-ADB8-3D0071CDE745}" startIndex="8" length="27"/>
    </mentions>
  </threadedComment>
  <threadedComment ref="F26" dT="2026-09-09T18:43:55.96" personId="{01693FD2-0C0B-4297-852F-726E54EAA899}" id="{E477BDE6-DE77-8D4E-A2FB-061BFAFCA1C2}" parentId="{A326B18E-D7A5-5B4A-A29D-E14D4E123408}">
    <text>done</text>
  </threadedComment>
  <threadedComment ref="F28" dT="2026-09-03T18:30:22.48" personId="{AC10B847-6396-CB48-B8B0-6D46D403B6E0}" id="{51538A9D-0490-47FD-BD14-ADE9AA340325}">
    <text>New row @Aleksandar Sokolovski (cw) to PIC and update</text>
    <mentions>
      <mention mentionpersonId="{3AA97587-AF42-B34E-BC44-8C0E33B48738}" mentionId="{FFE063E1-DD18-428E-835A-B75E79097E8A}" startIndex="8" length="27"/>
    </mentions>
  </threadedComment>
  <threadedComment ref="F28" dT="2026-09-09T18:43:55.96" personId="{01693FD2-0C0B-4297-852F-726E54EAA899}" id="{FE40F77B-7929-46C2-867F-62169762BCFD}" parentId="{51538A9D-0490-47FD-BD14-ADE9AA340325}">
    <text>done</text>
  </threadedComment>
  <threadedComment ref="N44" dT="2026-09-03T18:13:59.19" personId="{AC10B847-6396-CB48-B8B0-6D46D403B6E0}" id="{7798C536-4A4D-6F49-B10E-2558B48CBEC9}">
    <text xml:space="preserve">@Josh Przybylko and @Matthias Fey pls discuss. </text>
    <mentions>
      <mention mentionpersonId="{E5CBC894-7EA9-42CD-9C12-1569496BE65A}" mentionId="{B648DF14-6D44-F449-83D9-66A0977D3E06}" startIndex="0" length="15"/>
      <mention mentionpersonId="{3C0B3900-3788-AB4A-8151-64EE366E2A42}" mentionId="{ED2CFDCC-68C9-D04B-820A-44131E1D10B3}" startIndex="20" length="13"/>
    </mentions>
  </threadedComment>
  <threadedComment ref="F45" dT="2026-09-03T18:30:01.74" personId="{AC10B847-6396-CB48-B8B0-6D46D403B6E0}" id="{B35BE4A5-37F7-4A40-9DFC-D6BB98CE5322}" done="1">
    <text>New row - @Aleksandar Sokolovski (cw) to update</text>
    <mentions>
      <mention mentionpersonId="{3AA97587-AF42-B34E-BC44-8C0E33B48738}" mentionId="{22DB67EB-16B8-2443-8B40-D341FD01DA03}" startIndex="10" length="27"/>
    </mentions>
  </threadedComment>
  <threadedComment ref="F45" dT="2026-09-09T18:43:47.67" personId="{01693FD2-0C0B-4297-852F-726E54EAA899}" id="{353252B8-A848-4798-9E5E-36333BC5644F}" parentId="{B35BE4A5-37F7-4A40-9DFC-D6BB98CE5322}">
    <text>done</text>
  </threadedComment>
  <threadedComment ref="G57" dT="2026-08-31T15:58:30.54" personId="{49CF0405-E677-4E1F-84D8-FA64628A4F9D}" id="{942B598F-9D58-2D46-AC41-DC684569155A}">
    <text>@Joseph Oliveira I thought the contsainer version was postponed until after the pip install and GTC. Can you update
FYI @Said Aram @Effy Fang</text>
    <mentions>
      <mention mentionpersonId="{AB2FCDF9-F300-4E3F-9ADF-C73F1A7E1B2E}" mentionId="{63895EF5-C304-B449-9863-D036E3DE62C6}" startIndex="0" length="16"/>
      <mention mentionpersonId="{A0AA53FB-AF26-41A0-87CD-D51AC20F7F55}" mentionId="{533D9592-89B9-D545-852C-E1EFE6F636B3}" startIndex="121" length="10"/>
      <mention mentionpersonId="{60DAE4D4-6629-784F-85F4-947346F2D78A}" mentionId="{940E77B1-F47C-9F40-B457-67C8B89F00EA}" startIndex="132" length="10"/>
    </mentions>
  </threadedComment>
  <threadedComment ref="G57" dT="2026-08-31T16:50:37.47" personId="{3CD26481-A223-4931-A42E-1CB17ED29B4E}" id="{1C281628-B599-403E-9E5C-F8B25003B158}" parentId="{942B598F-9D58-2D46-AC41-DC684569155A}">
    <text xml:space="preserve">The containers and pip install share the same kumo-core engine. 
Beyond the OSRB/License(s) - there is no other additional work required + we are still targeting EA for NPCI, Santander, Paypal. </text>
  </threadedComment>
  <threadedComment ref="G57" dT="2026-09-01T01:22:02.41" personId="{49CF0405-E677-4E1F-84D8-FA64628A4F9D}" id="{F4E3215F-C12B-3040-827E-4794EAC32E8E}" parentId="{942B598F-9D58-2D46-AC41-DC684569155A}">
    <text xml:space="preserve">@Joseph Oliveira I am a tad still unclear. 
The container contains way more than just "Kumo core" It contains temporal, the UI, StateDB, queues, Jana's Auth and groups stuff etc etc .. a much larger code base to test
If core is not code complete until Wed 30th (and by the way that scope excludes things like explainability which the UI assumes .. wont the UI be tots broken?
So When is EA go date and is there a seperate OSRB ticket?
</text>
    <mentions>
      <mention mentionpersonId="{AB2FCDF9-F300-4E3F-9ADF-C73F1A7E1B2E}" mentionId="{5C1CD0F2-5247-FA49-933D-178BD34E9FEF}" startIndex="0" length="16"/>
    </mentions>
  </threadedComment>
  <threadedComment ref="K57" dT="2026-09-16T17:51:16.50" personId="{49CF0405-E677-4E1F-84D8-FA64628A4F9D}" id="{CF1B6B93-F56C-DE41-9C08-90E6ABB075DA}">
    <text>@Joseph Oliveira what dates in December makes sense
This date looks wrong for the GA container including Studio (the UI)</text>
    <mentions>
      <mention mentionpersonId="{AB2FCDF9-F300-4E3F-9ADF-C73F1A7E1B2E}" mentionId="{3E5A2976-133D-244D-83BF-C6921D00704D}" startIndex="0" length="16"/>
    </mentions>
  </threadedComment>
  <threadedComment ref="K57" dT="2026-09-16T21:00:47.17" personId="{3CD26481-A223-4931-A42E-1CB17ED29B4E}" id="{3F1B06AF-0FE1-4904-B34A-54A32B500439}" parentId="{CF1B6B93-F56C-DE41-9C08-90E6ABB075DA}">
    <text xml:space="preserve">December 8th gives us ~5 weeks, accounting for holidays, from GTC to make any refinements to the UI. </text>
  </threadedComment>
</ThreadedComments>
</file>

<file path=xl/threadedComments/threadedComment2.xml><?xml version="1.0" encoding="utf-8"?>
<ThreadedComments xmlns="http://schemas.microsoft.com/office/spreadsheetml/2018/threadedcomments" xmlns:x="http://schemas.openxmlformats.org/spreadsheetml/2006/main">
  <threadedComment ref="B18" dT="2026-08-27T22:22:05.66" personId="{9934482F-CF7F-40E6-BC89-BC4252E25772}" id="{4ED1C68A-9E82-4D70-AFA3-0A2F342F3D29}">
    <text xml:space="preserve">Kevin's latest comment on PLR says we need OSRB approval too... </text>
  </threadedComment>
</ThreadedComments>
</file>

<file path=xl/threadedComments/threadedComment3.xml><?xml version="1.0" encoding="utf-8"?>
<ThreadedComments xmlns="http://schemas.microsoft.com/office/spreadsheetml/2018/threadedcomments" xmlns:x="http://schemas.openxmlformats.org/spreadsheetml/2006/main">
  <threadedComment ref="B44" dT="2026-06-16T13:41:15.59" personId="{0CC5D824-A3EB-4022-8DFA-CD0718633F7C}" id="{E0AC3CE2-9D5E-4AB2-824F-89A1A462E4E5}">
    <text xml:space="preserve">@Said Aram and @Josh Przybylkocan we fill rows as much as we know today and all the External Dependency names who are people Josh has met. </text>
    <mentions>
      <mention mentionpersonId="{A0AA53FB-AF26-41A0-87CD-D51AC20F7F55}" mentionId="{40A3937B-A8B3-4B2F-8751-AEA6289B2FB3}" startIndex="0" length="10"/>
      <mention mentionpersonId="{E5CBC894-7EA9-42CD-9C12-1569496BE65A}" mentionId="{63E747D2-09CA-497C-9FD9-E659E010543F}" startIndex="15" length="15"/>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A10" dT="2026-07-22T19:37:10.58" personId="{49CF0405-E677-4E1F-84D8-FA64628A4F9D}" id="{E8422CE2-3DD1-4782-A422-D3D50355D70D}" done="1">
    <text>@Zack Drach @Joseph Oliveira
When was OSRB submitted and can you link ticket</text>
    <mentions>
      <mention mentionpersonId="{8793A613-13AF-4654-8606-8A6FFA077AC7}" mentionId="{37505CF0-7CF4-4FE9-BC4C-8C07950C5355}" startIndex="0" length="11"/>
      <mention mentionpersonId="{AB2FCDF9-F300-4E3F-9ADF-C73F1A7E1B2E}" mentionId="{F5966906-7D8C-4843-B37B-D70269CA1B52}" startIndex="12" length="16"/>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E20" dT="2026-08-13T18:14:15.30" personId="{3CD26481-A223-4931-A42E-1CB17ED29B4E}" id="{816F62ED-6B3E-499E-B7FE-E226E8FBA381}">
    <text>21-Aug: Kumo 2 Customers</text>
  </threadedComment>
  <threadedComment ref="E20" dT="2026-08-13T18:14:33.26" personId="{3CD26481-A223-4931-A42E-1CB17ED29B4E}" id="{94652BF4-0E72-4E05-BEA3-9EA7907AE825}" parentId="{816F62ED-6B3E-499E-B7FE-E226E8FBA381}">
    <text>15-Aug: Internal Nvidia SA's</text>
  </threadedComment>
</ThreadedComments>
</file>

<file path=xl/threadedComments/threadedComment6.xml><?xml version="1.0" encoding="utf-8"?>
<ThreadedComments xmlns="http://schemas.microsoft.com/office/spreadsheetml/2018/threadedcomments" xmlns:x="http://schemas.openxmlformats.org/spreadsheetml/2006/main">
  <threadedComment ref="B30" dT="2026-06-16T13:34:23.12" personId="{0CC5D824-A3EB-4022-8DFA-CD0718633F7C}" id="{EE0B682B-C540-4778-9301-9966759B3E19}">
    <text xml:space="preserve">@Said Aram, @Josh Przybylko and @Alex Porter we need to fill these parts out over the next days. </text>
    <mentions>
      <mention mentionpersonId="{A0AA53FB-AF26-41A0-87CD-D51AC20F7F55}" mentionId="{318F8717-F893-4436-8C44-8DE9744CD72B}" startIndex="0" length="10"/>
      <mention mentionpersonId="{E5CBC894-7EA9-42CD-9C12-1569496BE65A}" mentionId="{A3B391A9-4405-4776-B0C8-425977BC11A1}" startIndex="12" length="15"/>
      <mention mentionpersonId="{C000615D-0624-401F-AE31-0319FC83783B}" mentionId="{09F8DA38-9616-455F-854D-912E30B6BCE2}" startIndex="32" length="12"/>
    </mentions>
  </threadedComment>
  <threadedComment ref="B30" dT="2026-06-16T17:43:51.92" personId="{0CC5D824-A3EB-4022-8DFA-CD0718633F7C}" id="{5A6D34F2-0FD9-4670-8D4B-F96B4C2CFFA7}" parentId="{EE0B682B-C540-4778-9301-9966759B3E19}">
    <text>@Alex Porter and @Matthias Fey you need some work here to make a path for HF models to make their way to NIM and sequence that.</text>
    <mentions>
      <mention mentionpersonId="{C000615D-0624-401F-AE31-0319FC83783B}" mentionId="{B022D98A-E65F-42EC-A193-AC3B29ADDFC4}" startIndex="0" length="12"/>
      <mention mentionpersonId="{3C0B3900-3788-AB4A-8151-64EE366E2A42}" mentionId="{370DB50A-2CFD-4972-8C9F-65DEECCFF880}" startIndex="17" length="13"/>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9D9DF3-FC9A-6840-A2BC-1A697A43D0F5}">
  <we:reference id="WA200010725" version="1.0.0.1" store="Omex" storeType="OMEX"/>
  <we:alternateReferences>
    <we:reference id="WA200010725" version="1.0.0.1" store="WA200010725" storeType="OMEX"/>
  </we:alternateReferences>
  <we:properties>
    <we:property name="claude.fileId" value="&quot;32fac69f-eb34-40f2-b99c-04548a33faa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3" Type="http://schemas.openxmlformats.org/officeDocument/2006/relationships/hyperlink" Target="https://nvbugspro.nvidia.com/bug/6010409" TargetMode="External"/><Relationship Id="rId18" Type="http://schemas.openxmlformats.org/officeDocument/2006/relationships/hyperlink" Target="https://nspect.nvidia.com/registration/programs/21898/versions/78093" TargetMode="External"/><Relationship Id="rId26" Type="http://schemas.openxmlformats.org/officeDocument/2006/relationships/hyperlink" Target="https://nspect.nvidia.com/registration/programs/22455/versions/76584" TargetMode="External"/><Relationship Id="rId39" Type="http://schemas.openxmlformats.org/officeDocument/2006/relationships/hyperlink" Target="https://huggingface.co/nvidia/nv-tesseract-forecasting" TargetMode="External"/><Relationship Id="rId21" Type="http://schemas.openxmlformats.org/officeDocument/2006/relationships/hyperlink" Target="https://nvbugspro.nvidia.com/bug/6681039" TargetMode="External"/><Relationship Id="rId34" Type="http://schemas.openxmlformats.org/officeDocument/2006/relationships/hyperlink" Target="https://nvbugspro.nvidia.com/bug/6441538" TargetMode="External"/><Relationship Id="rId42" Type="http://schemas.openxmlformats.org/officeDocument/2006/relationships/hyperlink" Target="https://nspect.nvidia.com/review?id=NSPECT-1HFF-6ET2" TargetMode="External"/><Relationship Id="rId47" Type="http://schemas.openxmlformats.org/officeDocument/2006/relationships/hyperlink" Target="https://nspect.nvidia.com/registration/programs/22455/versions/78151" TargetMode="External"/><Relationship Id="rId50" Type="http://schemas.openxmlformats.org/officeDocument/2006/relationships/vmlDrawing" Target="../drawings/vmlDrawing1.vml"/><Relationship Id="rId7" Type="http://schemas.openxmlformats.org/officeDocument/2006/relationships/hyperlink" Target="https://nvbugspro.nvidia.com/bug/6575672" TargetMode="External"/><Relationship Id="rId2" Type="http://schemas.openxmlformats.org/officeDocument/2006/relationships/hyperlink" Target="https://nspect.nvidia.com/review?id=NSPECT-B1D1-PT0E" TargetMode="External"/><Relationship Id="rId16" Type="http://schemas.openxmlformats.org/officeDocument/2006/relationships/hyperlink" Target="https://nspect.nvidia.com/registration/programs/21898/versions/78093" TargetMode="External"/><Relationship Id="rId29" Type="http://schemas.openxmlformats.org/officeDocument/2006/relationships/hyperlink" Target="https://nspect.nvidia.com/registration/programs/22455/versions/76584" TargetMode="External"/><Relationship Id="rId11" Type="http://schemas.openxmlformats.org/officeDocument/2006/relationships/hyperlink" Target="https://huggingface.co/nvidia/nv-tesseract-forecasting" TargetMode="External"/><Relationship Id="rId24" Type="http://schemas.openxmlformats.org/officeDocument/2006/relationships/hyperlink" Target="https://nspect.nvidia.com/review?id=NSPECT-LMU5-4KJP" TargetMode="External"/><Relationship Id="rId32" Type="http://schemas.openxmlformats.org/officeDocument/2006/relationships/hyperlink" Target="https://nspect.nvidia.com/registration/programs/22455/versions/76584" TargetMode="External"/><Relationship Id="rId37" Type="http://schemas.openxmlformats.org/officeDocument/2006/relationships/hyperlink" Target="https://huggingface.co/nvidia/nv-tesseract-forecasting" TargetMode="External"/><Relationship Id="rId40" Type="http://schemas.openxmlformats.org/officeDocument/2006/relationships/hyperlink" Target="https://huggingface.co/nvidia/nv-tesseract-forecasting" TargetMode="External"/><Relationship Id="rId45" Type="http://schemas.openxmlformats.org/officeDocument/2006/relationships/hyperlink" Target="https://github.com/NVIDIA/kumo-relational-client" TargetMode="External"/><Relationship Id="rId53" Type="http://schemas.microsoft.com/office/2019/04/relationships/documenttask" Target="../documenttasks/documenttask1.xml"/><Relationship Id="rId5" Type="http://schemas.openxmlformats.org/officeDocument/2006/relationships/hyperlink" Target="https://nvbugspro.nvidia.com/bug/6470036" TargetMode="External"/><Relationship Id="rId10" Type="http://schemas.openxmlformats.org/officeDocument/2006/relationships/hyperlink" Target="https://huggingface.co/nvidia/nv-tesseract-ad-diffusion" TargetMode="External"/><Relationship Id="rId19" Type="http://schemas.openxmlformats.org/officeDocument/2006/relationships/hyperlink" Target="https://nspect.nvidia.com/registration/programs/24511" TargetMode="External"/><Relationship Id="rId31" Type="http://schemas.openxmlformats.org/officeDocument/2006/relationships/hyperlink" Target="https://nvbugspro.nvidia.com/bug/6649311" TargetMode="External"/><Relationship Id="rId44" Type="http://schemas.openxmlformats.org/officeDocument/2006/relationships/hyperlink" Target="https://jirasw.nvidia.com/browse/MVSB-41901" TargetMode="External"/><Relationship Id="rId52" Type="http://schemas.microsoft.com/office/2017/10/relationships/threadedComment" Target="../threadedComments/threadedComment1.xml"/><Relationship Id="rId4" Type="http://schemas.openxmlformats.org/officeDocument/2006/relationships/hyperlink" Target="https://nspect.nvidia.com/review?id=NSPECT-1HFF-6ET2" TargetMode="External"/><Relationship Id="rId9" Type="http://schemas.openxmlformats.org/officeDocument/2006/relationships/hyperlink" Target="https://catalog.ngc.nvidia.com/orgs/nim/nvidia/containers/nv-tesseract/forecasting-1.0.1" TargetMode="External"/><Relationship Id="rId14" Type="http://schemas.openxmlformats.org/officeDocument/2006/relationships/hyperlink" Target="https://nspect.nvidia.com/review?id=NSPECT-21T4-GUQT" TargetMode="External"/><Relationship Id="rId22" Type="http://schemas.openxmlformats.org/officeDocument/2006/relationships/hyperlink" Target="https://nvbugspro.nvidia.com/bug/6681097" TargetMode="External"/><Relationship Id="rId27" Type="http://schemas.openxmlformats.org/officeDocument/2006/relationships/hyperlink" Target="https://nvbugspro.nvidia.com/bug/6649311" TargetMode="External"/><Relationship Id="rId30" Type="http://schemas.openxmlformats.org/officeDocument/2006/relationships/hyperlink" Target="https://nvbugspro.nvidia.com/bug/6649311" TargetMode="External"/><Relationship Id="rId35" Type="http://schemas.openxmlformats.org/officeDocument/2006/relationships/hyperlink" Target="https://nspect.nvidia.com/review?id=NSPECT-1HFF-6ET2" TargetMode="External"/><Relationship Id="rId43" Type="http://schemas.openxmlformats.org/officeDocument/2006/relationships/hyperlink" Target="http://nvbugs/6716314" TargetMode="External"/><Relationship Id="rId48" Type="http://schemas.openxmlformats.org/officeDocument/2006/relationships/hyperlink" Target="https://nvbugspro.nvidia.com/bug/6630830" TargetMode="External"/><Relationship Id="rId8" Type="http://schemas.openxmlformats.org/officeDocument/2006/relationships/hyperlink" Target="https://catalog.ngc.nvidia.com/orgs/nim/nvidia/containers/nv-tesseract/ad-diffusion-1.1.0" TargetMode="External"/><Relationship Id="rId51" Type="http://schemas.openxmlformats.org/officeDocument/2006/relationships/comments" Target="../comments1.xml"/><Relationship Id="rId3" Type="http://schemas.openxmlformats.org/officeDocument/2006/relationships/hyperlink" Target="https://nvbugspro.nvidia.com/bug/6441538" TargetMode="External"/><Relationship Id="rId12" Type="http://schemas.openxmlformats.org/officeDocument/2006/relationships/hyperlink" Target="https://nvbugspro.nvidia.com/bug/5672723" TargetMode="External"/><Relationship Id="rId17" Type="http://schemas.openxmlformats.org/officeDocument/2006/relationships/hyperlink" Target="https://nspect.nvidia.com/registration/programs/22195/versions/78082" TargetMode="External"/><Relationship Id="rId25" Type="http://schemas.openxmlformats.org/officeDocument/2006/relationships/hyperlink" Target="https://nvbugspro.nvidia.com/bug/6649311" TargetMode="External"/><Relationship Id="rId33" Type="http://schemas.openxmlformats.org/officeDocument/2006/relationships/hyperlink" Target="https://nvbugspro.nvidia.com/bug/6649311" TargetMode="External"/><Relationship Id="rId38" Type="http://schemas.openxmlformats.org/officeDocument/2006/relationships/hyperlink" Target="https://huggingface.co/nvidia/nv-tesseract-forecasting" TargetMode="External"/><Relationship Id="rId46" Type="http://schemas.openxmlformats.org/officeDocument/2006/relationships/hyperlink" Target="https://nvbugspro.nvidia.com/bug/6648800" TargetMode="External"/><Relationship Id="rId20" Type="http://schemas.openxmlformats.org/officeDocument/2006/relationships/hyperlink" Target="https://nspect.nvidia.com/registration/programs/22195/versions/73960" TargetMode="External"/><Relationship Id="rId41" Type="http://schemas.openxmlformats.org/officeDocument/2006/relationships/hyperlink" Target="https://nvbugspro.nvidia.com/bug/6441538" TargetMode="External"/><Relationship Id="rId1" Type="http://schemas.openxmlformats.org/officeDocument/2006/relationships/hyperlink" Target="https://nvbugspro.nvidia.com/bug/6457167" TargetMode="External"/><Relationship Id="rId6" Type="http://schemas.openxmlformats.org/officeDocument/2006/relationships/hyperlink" Target="https://nspect.nvidia.com/review?id=NSPECT-USU5-DBYK" TargetMode="External"/><Relationship Id="rId15" Type="http://schemas.openxmlformats.org/officeDocument/2006/relationships/hyperlink" Target="https://nspect.nvidia.com/review?id=NSPECT-POGC-RJ93" TargetMode="External"/><Relationship Id="rId23" Type="http://schemas.openxmlformats.org/officeDocument/2006/relationships/hyperlink" Target="https://nspect.nvidia.com/review?id=NSPECT-I0E0-OIXC" TargetMode="External"/><Relationship Id="rId28" Type="http://schemas.openxmlformats.org/officeDocument/2006/relationships/hyperlink" Target="https://nvbugspro.nvidia.com/bug/6649311" TargetMode="External"/><Relationship Id="rId36" Type="http://schemas.openxmlformats.org/officeDocument/2006/relationships/hyperlink" Target="https://huggingface.co/nvidia/nv-tesseract-ad-diffusion" TargetMode="External"/><Relationship Id="rId49" Type="http://schemas.openxmlformats.org/officeDocument/2006/relationships/hyperlink" Target="https://nspect.nvidia.com/review?id=NSPECT-MAR9-ANX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nvbugspro.nvidia.com/bug/6681039" TargetMode="External"/><Relationship Id="rId13" Type="http://schemas.openxmlformats.org/officeDocument/2006/relationships/hyperlink" Target="https://nspect.nvidia.com/review?id=NSPECT-1HFF-6ET2" TargetMode="External"/><Relationship Id="rId18" Type="http://schemas.openxmlformats.org/officeDocument/2006/relationships/hyperlink" Target="https://nspect.nvidia.com/review?id=NSPECT-B1D1-PT0E" TargetMode="External"/><Relationship Id="rId26" Type="http://schemas.microsoft.com/office/2017/10/relationships/threadedComment" Target="../threadedComments/threadedComment2.xml"/><Relationship Id="rId3" Type="http://schemas.openxmlformats.org/officeDocument/2006/relationships/hyperlink" Target="https://nvbugspro.nvidia.com/bug/6630830" TargetMode="External"/><Relationship Id="rId21" Type="http://schemas.openxmlformats.org/officeDocument/2006/relationships/hyperlink" Target="https://nvbugspro.nvidia.com/bug/6716314" TargetMode="External"/><Relationship Id="rId7" Type="http://schemas.openxmlformats.org/officeDocument/2006/relationships/hyperlink" Target="https://nspect.nvidia.com/review?id=NSPECT-LMU5-4KJP" TargetMode="External"/><Relationship Id="rId12" Type="http://schemas.openxmlformats.org/officeDocument/2006/relationships/hyperlink" Target="https://nspect.nvidia.com/registration/programs/22455/versions" TargetMode="External"/><Relationship Id="rId17" Type="http://schemas.openxmlformats.org/officeDocument/2006/relationships/hyperlink" Target="https://nspect.nvidia.com/review?id=NSPECT-USU5-DBYK" TargetMode="External"/><Relationship Id="rId25" Type="http://schemas.openxmlformats.org/officeDocument/2006/relationships/comments" Target="../comments2.xml"/><Relationship Id="rId2" Type="http://schemas.openxmlformats.org/officeDocument/2006/relationships/hyperlink" Target="https://nvbugspro.nvidia.com/bug/6457167" TargetMode="External"/><Relationship Id="rId16" Type="http://schemas.openxmlformats.org/officeDocument/2006/relationships/hyperlink" Target="https://nspect.nvidia.com/registration/programs/21898/versions/78093" TargetMode="External"/><Relationship Id="rId20" Type="http://schemas.openxmlformats.org/officeDocument/2006/relationships/hyperlink" Target="https://jirasw.nvidia.com/browse/DGPTT-5806" TargetMode="External"/><Relationship Id="rId1" Type="http://schemas.openxmlformats.org/officeDocument/2006/relationships/hyperlink" Target="https://nvbugspro.nvidia.com/bug/6575672" TargetMode="External"/><Relationship Id="rId6" Type="http://schemas.openxmlformats.org/officeDocument/2006/relationships/hyperlink" Target="https://nspect.nvidia.com/review?id=NSPECT-I0E0-OIXC" TargetMode="External"/><Relationship Id="rId11" Type="http://schemas.openxmlformats.org/officeDocument/2006/relationships/hyperlink" Target="https://nvbugspro.nvidia.com/bug/6648800" TargetMode="External"/><Relationship Id="rId24" Type="http://schemas.openxmlformats.org/officeDocument/2006/relationships/vmlDrawing" Target="../drawings/vmlDrawing2.vml"/><Relationship Id="rId5" Type="http://schemas.openxmlformats.org/officeDocument/2006/relationships/hyperlink" Target="https://nspect.nvidia.com/registration/programs/22195/versions/78082" TargetMode="External"/><Relationship Id="rId15" Type="http://schemas.openxmlformats.org/officeDocument/2006/relationships/hyperlink" Target="https://nspect.nvidia.com/review?id=NSPECT-ZP0R-U13D" TargetMode="External"/><Relationship Id="rId23" Type="http://schemas.openxmlformats.org/officeDocument/2006/relationships/hyperlink" Target="https://jirasw.nvidia.com/browse/DGPTT-5805" TargetMode="External"/><Relationship Id="rId10" Type="http://schemas.openxmlformats.org/officeDocument/2006/relationships/hyperlink" Target="https://nvbugspro.nvidia.com/bug/6649311" TargetMode="External"/><Relationship Id="rId19" Type="http://schemas.openxmlformats.org/officeDocument/2006/relationships/hyperlink" Target="https://jirasw.nvidia.com/browse/DGPTT-5804" TargetMode="External"/><Relationship Id="rId4" Type="http://schemas.openxmlformats.org/officeDocument/2006/relationships/hyperlink" Target="https://nvbugspro.nvidia.com/bug/6470036" TargetMode="External"/><Relationship Id="rId9" Type="http://schemas.openxmlformats.org/officeDocument/2006/relationships/hyperlink" Target="https://nvbugspro.nvidia.com/bug/6681097" TargetMode="External"/><Relationship Id="rId14" Type="http://schemas.openxmlformats.org/officeDocument/2006/relationships/hyperlink" Target="https://nspect.nvidia.com/review?id=NSPECT-MAR9-ANXN" TargetMode="External"/><Relationship Id="rId22" Type="http://schemas.openxmlformats.org/officeDocument/2006/relationships/hyperlink" Target="https://nspect.nvidia.com/review?id=NSPECT-3LSM-ZJX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nvidia.sharepoint.com/:p:/r/sites/Kumo/Shared%20Documents/Internal%20Presentations/Kumo%20Model%20by%20Predictive%20Tasks%20and%20PQuery.pptx?d=w5e09d0b633c84e6db87ea28066581e8f&amp;csf=1&amp;web=1&amp;e=EsGDTq" TargetMode="External"/><Relationship Id="rId18" Type="http://schemas.openxmlformats.org/officeDocument/2006/relationships/hyperlink" Target="https://nvidia.sharepoint.com/:p:/r/sites/Kumo/Shared%20Documents/Internal%20Presentations/NVIDIA_KUMO_Intro_0616.pptx?d=wab8b23795f924e6a83a36a3b8d62f279&amp;csf=1&amp;web=1&amp;e=OcuUrw" TargetMode="External"/><Relationship Id="rId26" Type="http://schemas.openxmlformats.org/officeDocument/2006/relationships/hyperlink" Target="https://nvidia.sharepoint.com/:v:/r/sites/Kumo/Shared%20Documents/Demo%20Videos/Tesseract%20-%20Predictive%20Maintenance/NV-Tesseract%20Predictive%20Maintenance%20Blueprint%20Demo-20260904_114014-Meeting%20Recording.mp4?d=w61f05d8afae94d66844dbfbbc747fc16&amp;csf=1&amp;web=1&amp;e=1XU2zJ" TargetMode="External"/><Relationship Id="rId39" Type="http://schemas.openxmlformats.org/officeDocument/2006/relationships/hyperlink" Target="https://nvidia-my.sharepoint.com/:p:/r/personal/ihulseman_nvidia_com/Documents/%5BNOT%20LIVE%5D%20NVIDIA%20Kumo%20Customer%20Deck%20Working%20Deck.pptx?d=wac536ed046ce4361932fafb1ec0c6901&amp;csf=1&amp;web=1&amp;e=o4zsFm" TargetMode="External"/><Relationship Id="rId21" Type="http://schemas.openxmlformats.org/officeDocument/2006/relationships/hyperlink" Target="https://nvidia.sharepoint.com/:p:/r/sites/Kumo/Shared%20Documents/Generic%20FC%20Decks/Kumo_Extended_Slide_Library.pptx?d=w1702b0bc83b7407c8122546d7754503e&amp;csf=1&amp;web=1&amp;e=gBx5Cg" TargetMode="External"/><Relationship Id="rId34" Type="http://schemas.openxmlformats.org/officeDocument/2006/relationships/hyperlink" Target="https://github.com/NVIDIA/Kumo-TS/tree/main/Kumo-Anomaly" TargetMode="External"/><Relationship Id="rId42" Type="http://schemas.openxmlformats.org/officeDocument/2006/relationships/hyperlink" Target="https://docs.nvidia.com/sdgm/kumo-engine/get-started-with-kumo-engine/overview" TargetMode="External"/><Relationship Id="rId7" Type="http://schemas.openxmlformats.org/officeDocument/2006/relationships/hyperlink" Target="https://github.com/kumo-ai" TargetMode="External"/><Relationship Id="rId2" Type="http://schemas.openxmlformats.org/officeDocument/2006/relationships/hyperlink" Target="https://nvidia.sharepoint.com/sites/Kumo/Shared%20Documents/Forms/AllItems.aspx" TargetMode="External"/><Relationship Id="rId16" Type="http://schemas.openxmlformats.org/officeDocument/2006/relationships/hyperlink" Target="https://nvidia.sharepoint.com/:p:/r/sites/Kumo/Shared%20Documents/Internal%20Presentations/NVIDIA_KUMO_Agents_Intro_Jun10.pptx?d=w3ec018a77e1e4e85a1fbfa9b408e5706&amp;csf=1&amp;web=1&amp;e=w1MbVy" TargetMode="External"/><Relationship Id="rId29" Type="http://schemas.openxmlformats.org/officeDocument/2006/relationships/hyperlink" Target="https://nvidia.sharepoint.com/:v:/r/sites/Kumo/Shared%20Documents/Demo%20Videos/Recsys%20Demos/Online%20ServingRecSys_vFinal.mp4?d=w4d28b78a93a0465da8d474f0938b6a57&amp;csf=1&amp;web=1&amp;e=TcNZs8" TargetMode="External"/><Relationship Id="rId1" Type="http://schemas.openxmlformats.org/officeDocument/2006/relationships/hyperlink" Target="https://nvidia.sharepoint.com/sites/Kumo" TargetMode="External"/><Relationship Id="rId6" Type="http://schemas.openxmlformats.org/officeDocument/2006/relationships/hyperlink" Target="https://nvidia.sharepoint.com/:w:/r/sites/Kumo/_layouts/15/Doc.aspx?sourcedoc=%7B55BAB10D-B5EB-4ED4-9181-303E88F182BD%7D&amp;file=Kumo_Coding_Agent_GA_Spec_draft.docx" TargetMode="External"/><Relationship Id="rId11" Type="http://schemas.openxmlformats.org/officeDocument/2006/relationships/hyperlink" Target="https://nvidia.sharepoint.com/:p:/r/sites/Kumo/Shared%20Documents/Internal%20Presentations/Kumo%20Ecosystem%20Map%20+%20LHAs.pptx?d=w2d326483cf5a489ea70d27a64a4fdc7f&amp;csf=1&amp;web=1&amp;e=3e5zTo" TargetMode="External"/><Relationship Id="rId24" Type="http://schemas.openxmlformats.org/officeDocument/2006/relationships/hyperlink" Target="https://nvidia.sharepoint.com/:v:/r/sites/Kumo/Shared%20Documents/Demo%20Videos/Text%20to%20Prediction%20Demos/KumoRFM%20Prediction%20Agent_VoiceOver_Jan17.mp4?d=w63277525afc24a91b11e7243db8e5a2f&amp;csf=1&amp;web=1&amp;e=HFwXNS&amp;nav=eyJyZWZlcnJhbEluZm8iOnsicmVmZXJyYWxBcHAiOiJTdHJlYW1XZWJBcHAiLCJyZWZlcnJhbFZpZXciOiJTaGFyZURpYWxvZy1MaW5rIiwicmVmZXJyYWxBcHBQbGF0Zm9ybSI6IldlYiIsInJlZmVycmFsTW9kZSI6InZpZXcifX0%3D" TargetMode="External"/><Relationship Id="rId32" Type="http://schemas.openxmlformats.org/officeDocument/2006/relationships/hyperlink" Target="https://huggingface.co/nvidia/nv-tesseract-ad-diffusion" TargetMode="External"/><Relationship Id="rId37" Type="http://schemas.openxmlformats.org/officeDocument/2006/relationships/hyperlink" Target="https://github.com/NVIDIA/Kumo-TS" TargetMode="External"/><Relationship Id="rId40" Type="http://schemas.openxmlformats.org/officeDocument/2006/relationships/hyperlink" Target="https://nvidia.sharepoint.com/:p:/r/sites/Kumo/_layouts/15/Doc.aspx?sourcedoc=%7BD9046AC3-8AFE-4E6B-96D2-BBE11AD75771%7D&amp;file=NVIDIA%20Kumo%20Enablement%20Deck.pptx&amp;action=edit&amp;mobileredirect=true&amp;previoussessionid=17cd4ed9-ecf9-3212-6356-25329a91f47d" TargetMode="External"/><Relationship Id="rId45" Type="http://schemas.openxmlformats.org/officeDocument/2006/relationships/hyperlink" Target="https://github.com/NVIDIA/structured-data-models" TargetMode="External"/><Relationship Id="rId5" Type="http://schemas.openxmlformats.org/officeDocument/2006/relationships/hyperlink" Target="https://docs.google.com/document/d/1i-gVWzmgUTEBJ7yXjni4rt6FuC8MKfmdZlOwwgHw7Gs/edit?tab=t.0" TargetMode="External"/><Relationship Id="rId15" Type="http://schemas.openxmlformats.org/officeDocument/2006/relationships/hyperlink" Target="https://nvidia.sharepoint.com/:p:/r/sites/Kumo/Shared%20Documents/Internal%20Presentations/NVIDIA_KUMO_Intro_Fraud_Sept22.pptx?d=w04baca0019014c00b321a799cec4bb61&amp;csf=1&amp;web=1&amp;e=F2OmmM" TargetMode="External"/><Relationship Id="rId23" Type="http://schemas.openxmlformats.org/officeDocument/2006/relationships/hyperlink" Target="https://nvidia.sharepoint.com/:p:/r/sites/Kumo/Shared%20Documents/External%20Presentations/Customer%20Presentations/nvidia_intesa_010012026.pptx?d=w9a26f343f07a48ec8f71525149742dd8&amp;csf=1&amp;web=1&amp;e=tEXtKh" TargetMode="External"/><Relationship Id="rId28" Type="http://schemas.openxmlformats.org/officeDocument/2006/relationships/hyperlink" Target="https://nvidia.sharepoint.com/:v:/r/sites/Kumo/Shared%20Documents/Demo%20Videos/SnowflakeML%20Integration%20Videos/Kumo3inSnowML_Demo_Aug3.mp4?d=w7df5c3d818344da58d911c3651931986&amp;csf=1&amp;web=1&amp;e=2T4LMB" TargetMode="External"/><Relationship Id="rId36" Type="http://schemas.openxmlformats.org/officeDocument/2006/relationships/hyperlink" Target="https://huggingface.co/nvidia/Kumo-Relational" TargetMode="External"/><Relationship Id="rId10" Type="http://schemas.openxmlformats.org/officeDocument/2006/relationships/hyperlink" Target="https://nvidia.sharepoint.com/:p:/r/sites/Kumo/Shared%20Documents/Internal%20Presentations/Kumo%20SDGM%20Relational%20Tabular%20-%20keynote%20AutoML%20-%20Sep%202026.pptx?d=wab2ab177a1264129b5972117309a5163&amp;csf=1&amp;web=1&amp;e=V8Nmx8" TargetMode="External"/><Relationship Id="rId19" Type="http://schemas.openxmlformats.org/officeDocument/2006/relationships/hyperlink" Target="https://nvidia.sharepoint.com/:p:/r/sites/Kumo/Shared%20Documents/Internal%20Presentations/Tesseract%20Time%20Series%20Workshop%20-%20Foundation%20Model%20Research.pptx?d=wdcfde461846841cd9432e7619a3c28e5&amp;csf=1&amp;web=1&amp;e=6BpXvV" TargetMode="External"/><Relationship Id="rId31" Type="http://schemas.openxmlformats.org/officeDocument/2006/relationships/hyperlink" Target="https://huggingface.co/nvidia/nv-tesseract-forecasting" TargetMode="External"/><Relationship Id="rId44" Type="http://schemas.openxmlformats.org/officeDocument/2006/relationships/hyperlink" Target="https://build.nvidia.com/nvidia/kumo-relational" TargetMode="External"/><Relationship Id="rId4" Type="http://schemas.openxmlformats.org/officeDocument/2006/relationships/hyperlink" Target="https://docs.google.com/document/d/1inWuFEixidPaqA7xxhafn1Ehc3TL_O2E3jnG7e3GNtI/edit?tab=t.xjsvpxqueo2u" TargetMode="External"/><Relationship Id="rId9" Type="http://schemas.openxmlformats.org/officeDocument/2006/relationships/hyperlink" Target="https://nvidia.sharepoint.com/:f:/r/sites/Kumo/Shared%20Documents/Engineering/Engineering%20Operations?d=w3954ad859ef04901849d84480db5bf37&amp;csf=1&amp;web=1&amp;e=6Jl9GO" TargetMode="External"/><Relationship Id="rId14" Type="http://schemas.openxmlformats.org/officeDocument/2006/relationships/hyperlink" Target="https://nvidia.sharepoint.com/:p:/r/sites/Kumo/Shared%20Documents/Internal%20Presentations/NVIDIA_KUMO_Dwight_team_jun26.pptx?d=w7d59129571ad40cdb0ec5d047ce66825&amp;csf=1&amp;web=1&amp;e=avW4ld" TargetMode="External"/><Relationship Id="rId22" Type="http://schemas.openxmlformats.org/officeDocument/2006/relationships/hyperlink" Target="https://nvidia-my.sharepoint.com/:p:/p/benwu/IQBOhDCBAtVMSrQQzknJVh_LAfy-wuAuGVPirNCmEKW4vCo?e=g3pDS5&amp;isSPOFile=1&amp;xsdata=MDV8MDJ8fDNmMTNjYWQ0OWE3NzQyMjMwY2JhMDhkZjE0ZDYwNTE4fDQzMDgzZDE1NzI3MzQwYzFiN2RiMzllZmQ5Y2NjMTdhfDB8MHw2MzkyNTI1ODE1NTA5MjY3MTN8VW5rbm93bnxWR1ZoYlhOVFpXTjFjbWwwZVZObGNuWnBZMlY4ZXlKRFFTSTZJbFJsWVcxelgwRlVVRk5sY25acFkyVmZVMUJQVEU5R0lpd2lWaUk2SWpBdU1DNHdNREF3SWl3aVVDSTZJbGRwYmpNeUlpd2lRVTRpT2lKUGRHaGxjaUlzSWxkVUlqb3hNWDA9fDF8TDJOb1lYUnpMekU1T20xbFpYUnBibWRmV2xkU2ExcHFZelJOUkVWMFdsUk5NVTU1TURCYVIwMTVURmRLYkU1RVozUmFhbXhxV1ZkV2EwOVhTVEJOUkVGNVFIUm9jbVZoWkM1Mk1pOXRaWE56WVdkbGN5OHhOemc1TmpZeE16VXpOVE0zfDU5NTU4YjJjODUwNTQwN2E4ZWE1MDhkZjE0ZDYwNTE3fDgyOThlYThkMWUwMjQzN2NhYzAyMjE1Yjc5ZDFlOWQw&amp;sdata=NEZOcDMxanhZUG02UFliN29ha01UVlJFUkU2RlA2WlpTYXNuQ2RuN1hKcz0%3D&amp;ovuser=43083d15-7273-40c1-b7db-39efd9ccc17a%2Cbenwu%40nvidia.com" TargetMode="External"/><Relationship Id="rId27" Type="http://schemas.openxmlformats.org/officeDocument/2006/relationships/hyperlink" Target="https://nvidia.sharepoint.com/:v:/r/sites/Kumo/Shared%20Documents/Demo%20Videos/Text%20to%20Prediction%20Demos/kumormf-Text2Pql_Short.mp4?d=wddaf981e4ed94e7dbbdef675dd8ba1f0&amp;csf=1&amp;web=1&amp;e=WLFBla" TargetMode="External"/><Relationship Id="rId30" Type="http://schemas.openxmlformats.org/officeDocument/2006/relationships/hyperlink" Target="https://nvidia.sharepoint.com/:v:/r/sites/Kumo/Shared%20Documents/Demo%20Videos/Fraud%20Demos/Fraud_Demo_Josh%20Voice%20Over.mov?d=wa8d8abaea39141a5af45036d083528da&amp;csf=1&amp;web=1&amp;e=QZJHdG&amp;nav=eyJyZWZlcnJhbEluZm8iOnsicmVmZXJyYWxBcHAiOiJTdHJlYW1XZWJBcHAiLCJyZWZlcnJhbFZpZXciOiJTaGFyZURpYWxvZy1MaW5rIiwicmVmZXJyYWxBcHBQbGF0Zm9ybSI6IldlYiIsInJlZmVycmFsTW9kZSI6InZpZXcifX0%3D" TargetMode="External"/><Relationship Id="rId35" Type="http://schemas.openxmlformats.org/officeDocument/2006/relationships/hyperlink" Target="https://nvidia.sharepoint.com/:p:/r/sites/TeslaBU/Shared%20Documents/Product%20Marketing/Data%20Processing/Presentation%20Decks/Structured%20Data%20Processing%20Master%20Deck.pptx?d=w54556aee9e8a41149963e660587e0079&amp;csf=1&amp;web=1&amp;e=UxuPNd" TargetMode="External"/><Relationship Id="rId43" Type="http://schemas.openxmlformats.org/officeDocument/2006/relationships/hyperlink" Target="https://nvidia-staging-sdgm.docs.buildwithfern.com/sdgm/about-nvidia-kumo/overview" TargetMode="External"/><Relationship Id="rId8" Type="http://schemas.openxmlformats.org/officeDocument/2006/relationships/hyperlink" Target="https://gitlab-master.nvidia.com/kumo-tfm-nims/sdm-client" TargetMode="External"/><Relationship Id="rId3" Type="http://schemas.openxmlformats.org/officeDocument/2006/relationships/hyperlink" Target="https://gitlab-master.nvidia.com/kumo-tfm-nims/sdm-client" TargetMode="External"/><Relationship Id="rId12" Type="http://schemas.openxmlformats.org/officeDocument/2006/relationships/hyperlink" Target="https://nvidia.sharepoint.com/:p:/r/sites/Kumo/Shared%20Documents/Internal%20Presentations/NVIDIA_KUMO_Dwight_allhands_sep26-FINAL.pptx?d=w59588c5f971743878e4321eebcf0ce7f&amp;csf=1&amp;web=1&amp;e=zReW7z" TargetMode="External"/><Relationship Id="rId17" Type="http://schemas.openxmlformats.org/officeDocument/2006/relationships/hyperlink" Target="https://nvidia.sharepoint.com/:p:/r/sites/Kumo/Shared%20Documents/Internal%20Presentations/Frontier%20Structured%20Data%20and%20Graph%20Models_070226_vF.pptx?d=w57baf9a1b1a14b54bcd6e0b7844c5880&amp;csf=1&amp;web=1&amp;e=aegPg9" TargetMode="External"/><Relationship Id="rId25" Type="http://schemas.openxmlformats.org/officeDocument/2006/relationships/hyperlink" Target="https://nvidia.sharepoint.com/:v:/r/sites/Kumo/Shared%20Documents/Demo%20Videos/Text%20to%20Prediction%20Demos/si-sales-query.mp4?d=w2b78dffd6a134222937613a98d613978&amp;csf=1&amp;web=1&amp;e=ewygOp" TargetMode="External"/><Relationship Id="rId33" Type="http://schemas.openxmlformats.org/officeDocument/2006/relationships/hyperlink" Target="https://github.com/NVIDIA/Kumo-TS/tree/main/Kumo-Forecast" TargetMode="External"/><Relationship Id="rId38" Type="http://schemas.openxmlformats.org/officeDocument/2006/relationships/hyperlink" Target="https://nvidia.sharepoint.com/:p:/r/sites/Kumo/Shared%20Documents/Internal%20Presentations/Kumo_Technical%20Introduction_Oct6_JP.pptx?d=wefd39be23afb4856ba057aee9c93e581&amp;csf=1&amp;web=1&amp;e=6hIeqc" TargetMode="External"/><Relationship Id="rId20" Type="http://schemas.openxmlformats.org/officeDocument/2006/relationships/hyperlink" Target="https://nvidia.github.io/structured-data-models/overview.html" TargetMode="External"/><Relationship Id="rId41" Type="http://schemas.openxmlformats.org/officeDocument/2006/relationships/hyperlink" Target="https://docs.nvidia.com/sdgm/about-nvidia-kumo/overview"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nvidia.sharepoint.com/:p:/r/sites/EGXProductMarketingTeamSite/Shared%20Documents/GPU%20Genius%20Content/Customer%20Decks/NVIDIA%20Enterprise%20AI%20Factory%20Customer%20Deck.pptx?d=w5c6e4c77cfe8475eadd8974d93437553&amp;csf=1&amp;web=1&amp;e=yFGDbc" TargetMode="External"/><Relationship Id="rId13" Type="http://schemas.openxmlformats.org/officeDocument/2006/relationships/hyperlink" Target="https://github.com/kumo-ai/docs/tree/effyf/restructure-product-docs" TargetMode="External"/><Relationship Id="rId18" Type="http://schemas.openxmlformats.org/officeDocument/2006/relationships/hyperlink" Target="https://docs.google.com/presentation/d/1vtXLA0T00eXqYESz7jgtMdILYV1nAOeue18UVh-H8KQ/edit?usp=sharing" TargetMode="External"/><Relationship Id="rId3" Type="http://schemas.openxmlformats.org/officeDocument/2006/relationships/hyperlink" Target="https://nspect.nvidia.com/actions/compliance/ai-card/3129/request" TargetMode="External"/><Relationship Id="rId7" Type="http://schemas.openxmlformats.org/officeDocument/2006/relationships/hyperlink" Target="https://nvidia.sharepoint.com/:p:/r/sites/Kumo/Shared%20Documents/Internal%20Presentations/NVIDIA_KUMO_AIQ_Intro_Jun10.pptx?d=w3ec018a77e1e4e85a1fbfa9b408e5706&amp;csf=1&amp;web=1&amp;e=oSEA8K" TargetMode="External"/><Relationship Id="rId12" Type="http://schemas.openxmlformats.org/officeDocument/2006/relationships/hyperlink" Target="https://urm.nvidia.com/ui/repos/tree/General/nv-shared-pypi" TargetMode="External"/><Relationship Id="rId17" Type="http://schemas.openxmlformats.org/officeDocument/2006/relationships/hyperlink" Target="https://gitlab-master.nvidia.com/api-catalog/nim-structured-data/-/blob/main/nvidia/kumo-rfm/ux/openapi.yaml" TargetMode="External"/><Relationship Id="rId2" Type="http://schemas.openxmlformats.org/officeDocument/2006/relationships/hyperlink" Target="https://nvidia.atlassian.net/wiki/spaces/PYTHON/pages/2564751559/Package+Repositories+PyPI+and+Artifactory" TargetMode="External"/><Relationship Id="rId16" Type="http://schemas.openxmlformats.org/officeDocument/2006/relationships/hyperlink" Target="https://nvbugspro.nvidia.com/bug/6457167" TargetMode="External"/><Relationship Id="rId1" Type="http://schemas.openxmlformats.org/officeDocument/2006/relationships/hyperlink" Target="https://nvidia.atlassian.net/wiki/spaces/NLLMS/pages/3649386904/Kumo-RFM+NIM+Downloadable+NIM+Compliance+Status" TargetMode="External"/><Relationship Id="rId6" Type="http://schemas.openxmlformats.org/officeDocument/2006/relationships/hyperlink" Target="https://docs.google.com/presentation/d/1vtXLA0T00eXqYESz7jgtMdILYV1nAOeue18UVh-H8KQ/edit?usp=sharing" TargetMode="External"/><Relationship Id="rId11" Type="http://schemas.openxmlformats.org/officeDocument/2006/relationships/hyperlink" Target="https://nvbugspro.nvidia.com/bug/6457167" TargetMode="External"/><Relationship Id="rId5" Type="http://schemas.openxmlformats.org/officeDocument/2006/relationships/hyperlink" Target="https://docs.google.com/presentation/d/1OxETjL72qXIDtd-Fn_3Wn867KZE56fy3CgL7fNUlWK8/edit?usp=sharing" TargetMode="External"/><Relationship Id="rId15" Type="http://schemas.openxmlformats.org/officeDocument/2006/relationships/hyperlink" Target="https://nvbugspro.nvidia.com/bug/6470036?commentNumber=3" TargetMode="External"/><Relationship Id="rId10" Type="http://schemas.openxmlformats.org/officeDocument/2006/relationships/hyperlink" Target="https://nvbugspro.nvidia.com/bug/6470036" TargetMode="External"/><Relationship Id="rId4" Type="http://schemas.openxmlformats.org/officeDocument/2006/relationships/hyperlink" Target="https://nvbugspro.nvidia.com/bug/6470036" TargetMode="External"/><Relationship Id="rId9" Type="http://schemas.openxmlformats.org/officeDocument/2006/relationships/hyperlink" Target="https://nvidia.atlassian.net/wiki/spaces/NLLMS/pages/3649386904/Kumo-RFM+NIM+Downloadable+NIM+Compliance+Status" TargetMode="External"/><Relationship Id="rId14" Type="http://schemas.openxmlformats.org/officeDocument/2006/relationships/hyperlink" Target="https://nvbugspro.nvidia.com/bug/6470036?commentNumber=3"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 Id="rId5" Type="http://schemas.microsoft.com/office/2019/04/relationships/documenttask" Target="../documenttasks/documenttask2.x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nvbugspro.nvidia.com/bug/6441538" TargetMode="External"/><Relationship Id="rId5" Type="http://schemas.microsoft.com/office/2019/04/relationships/documenttask" Target="../documenttasks/documenttask3.xml"/><Relationship Id="rId4" Type="http://schemas.microsoft.com/office/2017/10/relationships/threadedComment" Target="../threadedComments/threadedComment4.xml"/></Relationships>
</file>

<file path=xl/worksheets/_rels/sheet13.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https://nspect.nvidia.com/review?id=NSPECT-ZP0R-U13D" TargetMode="External"/><Relationship Id="rId7" Type="http://schemas.openxmlformats.org/officeDocument/2006/relationships/hyperlink" Target="https://nspect.nvidia.com/review?id=NSPECT-MAR9-ANXN" TargetMode="External"/><Relationship Id="rId2" Type="http://schemas.openxmlformats.org/officeDocument/2006/relationships/hyperlink" Target="https://nspect.nvidia.com/review?id=NSPECT-ZP0R-U13D" TargetMode="External"/><Relationship Id="rId1" Type="http://schemas.openxmlformats.org/officeDocument/2006/relationships/hyperlink" Target="https://nspect.nvidia.com/registration/programs/22455/versions/76584" TargetMode="External"/><Relationship Id="rId6" Type="http://schemas.openxmlformats.org/officeDocument/2006/relationships/hyperlink" Target="https://nvbugspro.nvidia.com/bug/6575672" TargetMode="External"/><Relationship Id="rId5" Type="http://schemas.openxmlformats.org/officeDocument/2006/relationships/hyperlink" Target="https://nspect.nvidia.com/review?id=NSPECT-1HFF-6ET2" TargetMode="External"/><Relationship Id="rId10" Type="http://schemas.microsoft.com/office/2017/10/relationships/threadedComment" Target="../threadedComments/threadedComment5.xml"/><Relationship Id="rId4" Type="http://schemas.openxmlformats.org/officeDocument/2006/relationships/hyperlink" Target="https://nspect.nvidia.com/review?id=NSPECT-I0E0-OIXC" TargetMode="External"/><Relationship Id="rId9"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8" Type="http://schemas.openxmlformats.org/officeDocument/2006/relationships/hyperlink" Target="https://gitlab-master.nvidia.com/kumo-tfm-nims/tabicl-nim" TargetMode="External"/><Relationship Id="rId13" Type="http://schemas.openxmlformats.org/officeDocument/2006/relationships/hyperlink" Target="mailto:aporter@nvidia.com" TargetMode="External"/><Relationship Id="rId18" Type="http://schemas.openxmlformats.org/officeDocument/2006/relationships/hyperlink" Target="mailto:aporter@nvidia.com" TargetMode="External"/><Relationship Id="rId26" Type="http://schemas.openxmlformats.org/officeDocument/2006/relationships/table" Target="../tables/table4.xml"/><Relationship Id="rId3" Type="http://schemas.openxmlformats.org/officeDocument/2006/relationships/hyperlink" Target="mailto:manushm@nvidia.com" TargetMode="External"/><Relationship Id="rId21" Type="http://schemas.openxmlformats.org/officeDocument/2006/relationships/hyperlink" Target="https://nvaiinfa.aha.io/epics/PMS-E-2371?active_tab=related" TargetMode="External"/><Relationship Id="rId7" Type="http://schemas.openxmlformats.org/officeDocument/2006/relationships/hyperlink" Target="https://nvidia-my.sharepoint.com/:w:/r/personal/manushm_nvidia_com/Documents/TabICL%20NIM%20%E2%80%94Performance%20Optimization%20Report.docx?d=w04113cfa739348c199906a635a1b1dee&amp;csf=1&amp;web=1&amp;e=oERPpW" TargetMode="External"/><Relationship Id="rId12" Type="http://schemas.openxmlformats.org/officeDocument/2006/relationships/hyperlink" Target="https://gitlab-master.nvidia.com/api-standards/api-registry/pipeline/publication" TargetMode="External"/><Relationship Id="rId17" Type="http://schemas.openxmlformats.org/officeDocument/2006/relationships/hyperlink" Target="mailto:aporter@nvidia.com" TargetMode="External"/><Relationship Id="rId25" Type="http://schemas.openxmlformats.org/officeDocument/2006/relationships/vmlDrawing" Target="../drawings/vmlDrawing6.vml"/><Relationship Id="rId2" Type="http://schemas.openxmlformats.org/officeDocument/2006/relationships/hyperlink" Target="mailto:aporter@nvidia.com" TargetMode="External"/><Relationship Id="rId16" Type="http://schemas.openxmlformats.org/officeDocument/2006/relationships/hyperlink" Target="mailto:aporter@nvidia.com" TargetMode="External"/><Relationship Id="rId20" Type="http://schemas.openxmlformats.org/officeDocument/2006/relationships/hyperlink" Target="mailto:aporter@nvidia.com" TargetMode="External"/><Relationship Id="rId29" Type="http://schemas.microsoft.com/office/2019/04/relationships/documenttask" Target="../documenttasks/documenttask4.xml"/><Relationship Id="rId1" Type="http://schemas.openxmlformats.org/officeDocument/2006/relationships/hyperlink" Target="mailto:aporter@nvidia.com" TargetMode="External"/><Relationship Id="rId6" Type="http://schemas.openxmlformats.org/officeDocument/2006/relationships/hyperlink" Target="mailto:manushm@nvidia.com" TargetMode="External"/><Relationship Id="rId11" Type="http://schemas.openxmlformats.org/officeDocument/2006/relationships/hyperlink" Target="https://gitlab-master.nvidia.com/groups/kumo-tfm-nims/-/container_registries/250010" TargetMode="External"/><Relationship Id="rId24" Type="http://schemas.openxmlformats.org/officeDocument/2006/relationships/hyperlink" Target="https://docs.google.com/spreadsheets/d/1qCkAP6ndJ9f_3oUolVkUbLteP_POpkl5YneHCok2jZY/edit?gid=1288133001" TargetMode="External"/><Relationship Id="rId5" Type="http://schemas.openxmlformats.org/officeDocument/2006/relationships/hyperlink" Target="mailto:aporter@nvidia.com" TargetMode="External"/><Relationship Id="rId15" Type="http://schemas.openxmlformats.org/officeDocument/2006/relationships/hyperlink" Target="mailto:manushm@nvidia.com" TargetMode="External"/><Relationship Id="rId23" Type="http://schemas.openxmlformats.org/officeDocument/2006/relationships/hyperlink" Target="mailto:aporter@nvidia.com" TargetMode="External"/><Relationship Id="rId28" Type="http://schemas.microsoft.com/office/2017/10/relationships/threadedComment" Target="../threadedComments/threadedComment6.xml"/><Relationship Id="rId10" Type="http://schemas.openxmlformats.org/officeDocument/2006/relationships/hyperlink" Target="https://docs.google.com/document/d/1VdsXyqDojoA7Rwh_r2KyWL0Q_ix5bcYWe9ru0OWIEGw/edit?usp=sharing" TargetMode="External"/><Relationship Id="rId19" Type="http://schemas.openxmlformats.org/officeDocument/2006/relationships/hyperlink" Target="mailto:manushm@nvidia.com" TargetMode="External"/><Relationship Id="rId4" Type="http://schemas.openxmlformats.org/officeDocument/2006/relationships/hyperlink" Target="mailto:aporter@nvidia.com" TargetMode="External"/><Relationship Id="rId9" Type="http://schemas.openxmlformats.org/officeDocument/2006/relationships/hyperlink" Target="mailto:aporter@nvidia.com" TargetMode="External"/><Relationship Id="rId14" Type="http://schemas.openxmlformats.org/officeDocument/2006/relationships/hyperlink" Target="https://gitlab-master.nvidia.com/kumo-tfm-nims/tfm-serving" TargetMode="External"/><Relationship Id="rId22" Type="http://schemas.openxmlformats.org/officeDocument/2006/relationships/hyperlink" Target="mailto:aporter@nvidia.com" TargetMode="External"/><Relationship Id="rId27"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8" Type="http://schemas.openxmlformats.org/officeDocument/2006/relationships/hyperlink" Target="https://nvbugspro.nvidia.com/bug/6630830" TargetMode="External"/><Relationship Id="rId13" Type="http://schemas.openxmlformats.org/officeDocument/2006/relationships/hyperlink" Target="https://nvbugspro.nvidia.com/bug/6470036" TargetMode="External"/><Relationship Id="rId3" Type="http://schemas.openxmlformats.org/officeDocument/2006/relationships/hyperlink" Target="https://nvbugspro.nvidia.com/bug/6575672" TargetMode="External"/><Relationship Id="rId7" Type="http://schemas.openxmlformats.org/officeDocument/2006/relationships/hyperlink" Target="https://nspect.nvidia.com/registration/programs/22455/versions/76584" TargetMode="External"/><Relationship Id="rId12" Type="http://schemas.openxmlformats.org/officeDocument/2006/relationships/hyperlink" Target="https://nspect.nvidia.com/review?id=NSPECT-MAR9-ANXN" TargetMode="External"/><Relationship Id="rId2" Type="http://schemas.openxmlformats.org/officeDocument/2006/relationships/hyperlink" Target="https://nspect.nvidia.com/review?id=NSPECT-B1D1-PT0E" TargetMode="External"/><Relationship Id="rId16" Type="http://schemas.openxmlformats.org/officeDocument/2006/relationships/hyperlink" Target="https://nvbugspro.nvidia.com/bug/6649311" TargetMode="External"/><Relationship Id="rId1" Type="http://schemas.openxmlformats.org/officeDocument/2006/relationships/hyperlink" Target="https://nvbugspro.nvidia.com/bug/6457167" TargetMode="External"/><Relationship Id="rId6" Type="http://schemas.openxmlformats.org/officeDocument/2006/relationships/hyperlink" Target="https://nspect.nvidia.com/review?id=NSPECT-1HFF-6ET2" TargetMode="External"/><Relationship Id="rId11" Type="http://schemas.openxmlformats.org/officeDocument/2006/relationships/hyperlink" Target="https://nvbugspro.nvidia.com/bug/6630830" TargetMode="External"/><Relationship Id="rId5" Type="http://schemas.openxmlformats.org/officeDocument/2006/relationships/hyperlink" Target="https://nvbugspro.nvidia.com/bug/6441538" TargetMode="External"/><Relationship Id="rId15" Type="http://schemas.openxmlformats.org/officeDocument/2006/relationships/hyperlink" Target="https://nvbugspro.nvidia.com/bug/6648800" TargetMode="External"/><Relationship Id="rId10" Type="http://schemas.openxmlformats.org/officeDocument/2006/relationships/hyperlink" Target="https://nspect.nvidia.com/actions/compliance/legal/software/1774/request" TargetMode="External"/><Relationship Id="rId4" Type="http://schemas.openxmlformats.org/officeDocument/2006/relationships/hyperlink" Target="https://nspect.nvidia.com/review?id=NSPECT-I0E0-OIXC" TargetMode="External"/><Relationship Id="rId9" Type="http://schemas.openxmlformats.org/officeDocument/2006/relationships/hyperlink" Target="https://nspect.nvidia.com/review?id=NSPECT-MAR9-ANXN" TargetMode="External"/><Relationship Id="rId14" Type="http://schemas.openxmlformats.org/officeDocument/2006/relationships/hyperlink" Target="https://nspect.nvidia.com/review?id=NSPECT-USU5-DBYK"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nvbugspro.nvidia.com/bug/6575672" TargetMode="External"/><Relationship Id="rId13" Type="http://schemas.openxmlformats.org/officeDocument/2006/relationships/hyperlink" Target="https://nvbugspro.nvidia.com/bug/6630830" TargetMode="External"/><Relationship Id="rId3" Type="http://schemas.openxmlformats.org/officeDocument/2006/relationships/hyperlink" Target="https://nvbugspro.nvidia.com/bug/6470036?commentNumber=3" TargetMode="External"/><Relationship Id="rId7" Type="http://schemas.openxmlformats.org/officeDocument/2006/relationships/hyperlink" Target="https://nvidia.atlassian.net/wiki/spaces/NLLMS/pages/3649386904/Kumo-RFM+NIM+Downloadable+NIM+Compliance+Status" TargetMode="External"/><Relationship Id="rId12" Type="http://schemas.openxmlformats.org/officeDocument/2006/relationships/hyperlink" Target="https://nspect.nvidia.com/registration/programs/22455/versions/76584" TargetMode="External"/><Relationship Id="rId2" Type="http://schemas.openxmlformats.org/officeDocument/2006/relationships/hyperlink" Target="https://nvbugspro.nvidia.com/bug/6470036" TargetMode="External"/><Relationship Id="rId1" Type="http://schemas.openxmlformats.org/officeDocument/2006/relationships/hyperlink" Target="https://nvbugspro.nvidia.com/bug/6457167" TargetMode="External"/><Relationship Id="rId6" Type="http://schemas.openxmlformats.org/officeDocument/2006/relationships/hyperlink" Target="https://nspect.nvidia.com/actions/compliance/ai-card/3129/request" TargetMode="External"/><Relationship Id="rId11" Type="http://schemas.openxmlformats.org/officeDocument/2006/relationships/hyperlink" Target="https://nspect.nvidia.com/review?id=NSPECT-1HFF-6ET2" TargetMode="External"/><Relationship Id="rId5" Type="http://schemas.openxmlformats.org/officeDocument/2006/relationships/hyperlink" Target="https://nspect.nvidia.com/review?id=NSPECT-ZP0R-U13D" TargetMode="External"/><Relationship Id="rId15" Type="http://schemas.openxmlformats.org/officeDocument/2006/relationships/hyperlink" Target="https://nvidia.atlassian.net/wiki/spaces/PYTHON/pages/2564751559/Package+Repositories+PyPI+and+Artifactory" TargetMode="External"/><Relationship Id="rId10" Type="http://schemas.openxmlformats.org/officeDocument/2006/relationships/hyperlink" Target="https://nvbugspro.nvidia.com/bug/6441538" TargetMode="External"/><Relationship Id="rId4" Type="http://schemas.openxmlformats.org/officeDocument/2006/relationships/hyperlink" Target="https://nspect.nvidia.com/review?id=NSPECT-B1D1-PT0E" TargetMode="External"/><Relationship Id="rId9" Type="http://schemas.openxmlformats.org/officeDocument/2006/relationships/hyperlink" Target="https://nspect.nvidia.com/review?id=NSPECT-I0E0-OIXC" TargetMode="External"/><Relationship Id="rId14" Type="http://schemas.openxmlformats.org/officeDocument/2006/relationships/hyperlink" Target="https://github.com/NVIDIA/structured-data-mode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47A9-75B3-374E-9D0E-A566828E153D}">
  <sheetPr>
    <tabColor rgb="FF76B900"/>
    <pageSetUpPr fitToPage="1"/>
  </sheetPr>
  <dimension ref="A1:R97"/>
  <sheetViews>
    <sheetView showGridLines="0" zoomScale="109" zoomScaleNormal="108" workbookViewId="0">
      <pane ySplit="4" topLeftCell="A5" activePane="bottomLeft" state="frozen"/>
      <selection pane="bottomLeft" activeCell="L78" sqref="L78"/>
    </sheetView>
  </sheetViews>
  <sheetFormatPr baseColWidth="10" defaultColWidth="10.83203125" defaultRowHeight="13" outlineLevelRow="1" x14ac:dyDescent="0.15"/>
  <cols>
    <col min="1" max="1" width="7.33203125" style="95" customWidth="1"/>
    <col min="2" max="2" width="5.6640625" style="95" customWidth="1"/>
    <col min="3" max="3" width="22.83203125" style="55" customWidth="1"/>
    <col min="4" max="4" width="41" style="55" customWidth="1"/>
    <col min="5" max="5" width="42.5" style="55" customWidth="1"/>
    <col min="6" max="6" width="17.6640625" style="46" customWidth="1"/>
    <col min="7" max="7" width="29.83203125" style="55" customWidth="1"/>
    <col min="8" max="8" width="14.1640625" style="55" bestFit="1" customWidth="1"/>
    <col min="9" max="9" width="14.5" style="55" bestFit="1" customWidth="1"/>
    <col min="10" max="10" width="13" style="55" bestFit="1" customWidth="1"/>
    <col min="11" max="11" width="15" style="55" bestFit="1" customWidth="1"/>
    <col min="12" max="12" width="14" style="55" bestFit="1" customWidth="1"/>
    <col min="13" max="13" width="13" style="55" customWidth="1"/>
    <col min="14" max="14" width="57" style="55" customWidth="1"/>
    <col min="15" max="17" width="24.1640625" style="55" customWidth="1"/>
    <col min="18" max="18" width="24.1640625" style="55" hidden="1" customWidth="1"/>
    <col min="19" max="16384" width="10.83203125" style="95"/>
  </cols>
  <sheetData>
    <row r="1" spans="1:18" ht="7" customHeight="1" x14ac:dyDescent="0.15">
      <c r="A1" s="99"/>
      <c r="B1" s="99"/>
      <c r="C1" s="100"/>
      <c r="D1" s="100"/>
      <c r="E1" s="100"/>
      <c r="F1" s="100"/>
      <c r="G1" s="100"/>
      <c r="H1" s="100"/>
      <c r="I1" s="100"/>
      <c r="J1" s="100"/>
      <c r="K1" s="100"/>
      <c r="L1" s="100"/>
      <c r="M1" s="100"/>
      <c r="N1" s="100"/>
      <c r="O1" s="100"/>
      <c r="P1" s="100"/>
      <c r="Q1" s="100"/>
      <c r="R1" s="100"/>
    </row>
    <row r="2" spans="1:18" ht="25" x14ac:dyDescent="0.15">
      <c r="A2" s="99" t="s">
        <v>0</v>
      </c>
      <c r="B2" s="99"/>
      <c r="C2" s="100"/>
      <c r="D2" s="100"/>
      <c r="E2" s="100"/>
      <c r="F2" s="100"/>
      <c r="G2" s="100"/>
      <c r="H2" s="100"/>
      <c r="I2" s="100"/>
      <c r="J2" s="100"/>
      <c r="K2" s="100"/>
      <c r="L2" s="100"/>
      <c r="M2" s="100"/>
      <c r="N2" s="100"/>
      <c r="O2" s="100"/>
      <c r="P2" s="100"/>
      <c r="Q2" s="100"/>
      <c r="R2" s="100"/>
    </row>
    <row r="3" spans="1:18" s="129" customFormat="1" ht="27" customHeight="1" x14ac:dyDescent="0.15">
      <c r="A3" s="100"/>
      <c r="B3" s="100"/>
      <c r="C3" s="100"/>
      <c r="D3" s="100"/>
      <c r="E3" s="100"/>
      <c r="F3" s="100"/>
      <c r="G3" s="267" t="s">
        <v>1</v>
      </c>
      <c r="H3" s="268"/>
      <c r="I3" s="269" t="s">
        <v>2</v>
      </c>
      <c r="J3" s="270"/>
      <c r="K3" s="271" t="s">
        <v>3</v>
      </c>
      <c r="L3" s="272"/>
      <c r="M3" s="273" t="s">
        <v>4</v>
      </c>
      <c r="N3" s="273"/>
      <c r="O3" s="274" t="s">
        <v>5</v>
      </c>
      <c r="P3" s="274"/>
      <c r="Q3" s="274"/>
      <c r="R3" s="274"/>
    </row>
    <row r="4" spans="1:18" s="96" customFormat="1" ht="17" x14ac:dyDescent="0.2">
      <c r="A4" s="186" t="s">
        <v>6</v>
      </c>
      <c r="B4" s="186" t="s">
        <v>7</v>
      </c>
      <c r="C4" s="101" t="s">
        <v>8</v>
      </c>
      <c r="D4" s="101" t="s">
        <v>9</v>
      </c>
      <c r="E4" s="101" t="s">
        <v>10</v>
      </c>
      <c r="F4" s="102" t="s">
        <v>11</v>
      </c>
      <c r="G4" s="103" t="s">
        <v>12</v>
      </c>
      <c r="H4" s="104" t="s">
        <v>13</v>
      </c>
      <c r="I4" s="103" t="s">
        <v>12</v>
      </c>
      <c r="J4" s="104" t="s">
        <v>13</v>
      </c>
      <c r="K4" s="103" t="s">
        <v>12</v>
      </c>
      <c r="L4" s="104" t="s">
        <v>13</v>
      </c>
      <c r="M4" s="105" t="s">
        <v>14</v>
      </c>
      <c r="N4" s="101" t="s">
        <v>15</v>
      </c>
      <c r="O4" s="101" t="s">
        <v>16</v>
      </c>
      <c r="P4" s="101" t="s">
        <v>17</v>
      </c>
      <c r="Q4" s="101" t="s">
        <v>18</v>
      </c>
      <c r="R4" s="102" t="s">
        <v>19</v>
      </c>
    </row>
    <row r="5" spans="1:18" s="185" customFormat="1" ht="24" customHeight="1" x14ac:dyDescent="0.2">
      <c r="A5" s="187" t="s">
        <v>20</v>
      </c>
      <c r="B5" s="187"/>
    </row>
    <row r="6" spans="1:18" ht="25" hidden="1" customHeight="1" outlineLevel="1" x14ac:dyDescent="0.15">
      <c r="B6" s="125" t="s">
        <v>21</v>
      </c>
      <c r="C6" s="125"/>
      <c r="D6" s="106"/>
      <c r="E6" s="106"/>
      <c r="F6" s="106"/>
      <c r="G6" s="107"/>
      <c r="H6" s="108"/>
      <c r="I6" s="107"/>
      <c r="J6" s="108"/>
      <c r="K6" s="107"/>
      <c r="L6" s="109"/>
      <c r="M6" s="106"/>
      <c r="N6" s="106"/>
      <c r="O6" s="106"/>
      <c r="P6" s="106"/>
      <c r="Q6" s="106"/>
      <c r="R6" s="106"/>
    </row>
    <row r="7" spans="1:18" ht="75" hidden="1" customHeight="1" outlineLevel="1" x14ac:dyDescent="0.15">
      <c r="B7" s="243"/>
      <c r="C7" s="110" t="s">
        <v>22</v>
      </c>
      <c r="D7" s="110" t="s">
        <v>23</v>
      </c>
      <c r="E7" s="111" t="s">
        <v>24</v>
      </c>
      <c r="F7" s="166" t="s">
        <v>25</v>
      </c>
      <c r="G7" s="167" t="s">
        <v>26</v>
      </c>
      <c r="H7" s="168"/>
      <c r="I7" s="167"/>
      <c r="J7" s="168"/>
      <c r="K7" s="167" t="s">
        <v>27</v>
      </c>
      <c r="L7" s="168"/>
      <c r="M7" s="169"/>
      <c r="N7" s="170"/>
      <c r="O7" s="171" t="s">
        <v>28</v>
      </c>
      <c r="P7" s="172" t="s">
        <v>29</v>
      </c>
      <c r="Q7" s="171"/>
      <c r="R7" s="113"/>
    </row>
    <row r="8" spans="1:18" ht="84" hidden="1" outlineLevel="1" x14ac:dyDescent="0.15">
      <c r="B8" s="243"/>
      <c r="C8" s="110" t="s">
        <v>30</v>
      </c>
      <c r="D8" s="110" t="s">
        <v>23</v>
      </c>
      <c r="E8" s="111" t="s">
        <v>31</v>
      </c>
      <c r="F8" s="114" t="s">
        <v>32</v>
      </c>
      <c r="G8" s="137">
        <v>46220</v>
      </c>
      <c r="H8" s="139">
        <v>46220</v>
      </c>
      <c r="I8" s="137">
        <v>46218</v>
      </c>
      <c r="J8" s="140">
        <v>46215</v>
      </c>
      <c r="K8" s="137">
        <v>46258</v>
      </c>
      <c r="L8" s="140">
        <v>46275</v>
      </c>
      <c r="M8" s="116" t="s">
        <v>33</v>
      </c>
      <c r="N8" s="117" t="s">
        <v>34</v>
      </c>
      <c r="O8" s="118" t="s">
        <v>35</v>
      </c>
      <c r="P8" s="118" t="s">
        <v>36</v>
      </c>
      <c r="Q8" s="119" t="s">
        <v>37</v>
      </c>
      <c r="R8" s="120"/>
    </row>
    <row r="9" spans="1:18" ht="23" hidden="1" customHeight="1" outlineLevel="1" x14ac:dyDescent="0.15">
      <c r="B9" s="125" t="s">
        <v>38</v>
      </c>
      <c r="C9" s="106"/>
      <c r="D9" s="106"/>
      <c r="E9" s="106"/>
      <c r="F9" s="106"/>
      <c r="G9" s="138"/>
      <c r="H9" s="108"/>
      <c r="I9" s="138"/>
      <c r="J9" s="108"/>
      <c r="K9" s="138"/>
      <c r="L9" s="109"/>
      <c r="M9" s="106"/>
      <c r="N9" s="106"/>
      <c r="O9" s="106"/>
      <c r="P9" s="106"/>
      <c r="Q9" s="106"/>
      <c r="R9" s="120"/>
    </row>
    <row r="10" spans="1:18" ht="65.25" hidden="1" customHeight="1" outlineLevel="1" x14ac:dyDescent="0.15">
      <c r="B10" s="243"/>
      <c r="C10" s="123" t="s">
        <v>39</v>
      </c>
      <c r="D10" s="123" t="s">
        <v>40</v>
      </c>
      <c r="E10" s="122" t="s">
        <v>41</v>
      </c>
      <c r="F10" s="114" t="s">
        <v>42</v>
      </c>
      <c r="G10" s="137">
        <v>46245</v>
      </c>
      <c r="H10" s="140" t="s">
        <v>43</v>
      </c>
      <c r="I10" s="137" t="s">
        <v>44</v>
      </c>
      <c r="J10" s="140" t="s">
        <v>44</v>
      </c>
      <c r="K10" s="137">
        <v>46258</v>
      </c>
      <c r="L10" s="140">
        <v>46273</v>
      </c>
      <c r="M10" s="116" t="s">
        <v>33</v>
      </c>
      <c r="N10" s="117" t="s">
        <v>45</v>
      </c>
      <c r="O10" s="93" t="s">
        <v>46</v>
      </c>
      <c r="P10" s="93" t="s">
        <v>47</v>
      </c>
      <c r="Q10" s="93" t="s">
        <v>48</v>
      </c>
      <c r="R10" s="120"/>
    </row>
    <row r="11" spans="1:18" ht="22" hidden="1" customHeight="1" outlineLevel="1" x14ac:dyDescent="0.15">
      <c r="C11" s="95"/>
      <c r="D11" s="95"/>
      <c r="E11" s="95"/>
      <c r="F11" s="95"/>
      <c r="G11" s="95"/>
      <c r="H11" s="95"/>
      <c r="I11" s="95"/>
      <c r="J11" s="95"/>
      <c r="K11" s="95"/>
      <c r="L11" s="95"/>
      <c r="M11" s="95"/>
      <c r="N11" s="95"/>
      <c r="O11" s="95"/>
      <c r="P11" s="95"/>
      <c r="Q11" s="95"/>
      <c r="R11" s="95"/>
    </row>
    <row r="12" spans="1:18" s="185" customFormat="1" ht="24" hidden="1" customHeight="1" outlineLevel="1" x14ac:dyDescent="0.2">
      <c r="A12" s="187" t="s">
        <v>49</v>
      </c>
      <c r="B12" s="187"/>
    </row>
    <row r="13" spans="1:18" ht="23" hidden="1" customHeight="1" outlineLevel="1" x14ac:dyDescent="0.15">
      <c r="B13" s="125" t="s">
        <v>50</v>
      </c>
      <c r="C13" s="106"/>
      <c r="D13" s="106"/>
      <c r="E13" s="106"/>
      <c r="F13" s="106"/>
      <c r="G13" s="138"/>
      <c r="H13" s="108"/>
      <c r="I13" s="138"/>
      <c r="J13" s="108"/>
      <c r="K13" s="138"/>
      <c r="L13" s="109"/>
      <c r="M13" s="106"/>
      <c r="N13" s="106"/>
      <c r="O13" s="106"/>
      <c r="P13" s="106"/>
      <c r="Q13" s="106"/>
      <c r="R13" s="120"/>
    </row>
    <row r="14" spans="1:18" ht="126" hidden="1" outlineLevel="1" x14ac:dyDescent="0.15">
      <c r="B14" s="243"/>
      <c r="C14" s="124" t="s">
        <v>51</v>
      </c>
      <c r="D14" s="124" t="s">
        <v>52</v>
      </c>
      <c r="E14" s="111" t="s">
        <v>53</v>
      </c>
      <c r="F14" s="114" t="s">
        <v>54</v>
      </c>
      <c r="G14" s="137">
        <v>46269</v>
      </c>
      <c r="H14" s="140"/>
      <c r="I14" s="137" t="s">
        <v>44</v>
      </c>
      <c r="J14" s="140"/>
      <c r="K14" s="137">
        <v>46283</v>
      </c>
      <c r="L14" s="140">
        <v>46281</v>
      </c>
      <c r="M14" s="116" t="s">
        <v>33</v>
      </c>
      <c r="N14" s="117" t="s">
        <v>55</v>
      </c>
      <c r="O14" s="118" t="s">
        <v>56</v>
      </c>
      <c r="P14" s="118" t="s">
        <v>57</v>
      </c>
      <c r="Q14" s="119"/>
      <c r="R14" s="120" t="s">
        <v>58</v>
      </c>
    </row>
    <row r="15" spans="1:18" ht="98" hidden="1" outlineLevel="1" x14ac:dyDescent="0.15">
      <c r="B15" s="243"/>
      <c r="C15" s="124" t="s">
        <v>59</v>
      </c>
      <c r="D15" s="124" t="s">
        <v>52</v>
      </c>
      <c r="E15" s="111" t="s">
        <v>60</v>
      </c>
      <c r="F15" s="114" t="s">
        <v>54</v>
      </c>
      <c r="G15" s="137">
        <v>46269</v>
      </c>
      <c r="H15" s="140"/>
      <c r="I15" s="137" t="s">
        <v>44</v>
      </c>
      <c r="J15" s="140"/>
      <c r="K15" s="137">
        <v>46269</v>
      </c>
      <c r="L15" s="221">
        <v>46248</v>
      </c>
      <c r="M15" s="116" t="s">
        <v>33</v>
      </c>
      <c r="N15" s="117" t="s">
        <v>61</v>
      </c>
      <c r="O15" s="118" t="s">
        <v>56</v>
      </c>
      <c r="P15" s="93" t="s">
        <v>57</v>
      </c>
      <c r="Q15" s="119"/>
      <c r="R15" s="120" t="s">
        <v>58</v>
      </c>
    </row>
    <row r="16" spans="1:18" ht="69" hidden="1" customHeight="1" outlineLevel="1" x14ac:dyDescent="0.15">
      <c r="B16" s="243"/>
      <c r="C16" s="124" t="s">
        <v>62</v>
      </c>
      <c r="D16" s="124" t="s">
        <v>63</v>
      </c>
      <c r="E16" s="111" t="s">
        <v>64</v>
      </c>
      <c r="F16" s="213" t="s">
        <v>65</v>
      </c>
      <c r="G16" s="137">
        <v>46269</v>
      </c>
      <c r="H16" s="215"/>
      <c r="I16" s="214" t="s">
        <v>44</v>
      </c>
      <c r="J16" s="215"/>
      <c r="K16" s="214">
        <v>46288</v>
      </c>
      <c r="L16" s="215"/>
      <c r="M16" s="216" t="s">
        <v>33</v>
      </c>
      <c r="N16" s="117" t="s">
        <v>66</v>
      </c>
      <c r="O16" s="93" t="s">
        <v>67</v>
      </c>
      <c r="P16" s="93" t="s">
        <v>68</v>
      </c>
      <c r="Q16" s="93" t="s">
        <v>69</v>
      </c>
      <c r="R16" s="131"/>
    </row>
    <row r="17" spans="1:18" ht="32" hidden="1" customHeight="1" outlineLevel="1" x14ac:dyDescent="0.15">
      <c r="B17" s="125" t="s">
        <v>70</v>
      </c>
      <c r="C17" s="125"/>
      <c r="D17" s="106"/>
      <c r="E17" s="106"/>
      <c r="F17" s="106"/>
      <c r="G17" s="107"/>
      <c r="H17" s="108"/>
      <c r="I17" s="107"/>
      <c r="J17" s="108"/>
      <c r="K17" s="107"/>
      <c r="L17" s="109"/>
      <c r="M17" s="106"/>
      <c r="N17" s="106"/>
      <c r="O17" s="106"/>
      <c r="P17" s="106"/>
      <c r="Q17" s="106"/>
      <c r="R17" s="131"/>
    </row>
    <row r="18" spans="1:18" ht="54" hidden="1" customHeight="1" outlineLevel="1" x14ac:dyDescent="0.15">
      <c r="B18" s="243"/>
      <c r="C18" s="126" t="s">
        <v>71</v>
      </c>
      <c r="D18" s="126" t="s">
        <v>72</v>
      </c>
      <c r="E18" s="111" t="s">
        <v>73</v>
      </c>
      <c r="F18" s="114" t="s">
        <v>74</v>
      </c>
      <c r="G18" s="137">
        <v>46254</v>
      </c>
      <c r="H18" s="140">
        <v>46265</v>
      </c>
      <c r="I18" s="137" t="s">
        <v>26</v>
      </c>
      <c r="J18" s="140"/>
      <c r="K18" s="137">
        <v>46293</v>
      </c>
      <c r="L18" s="140"/>
      <c r="M18" s="116" t="s">
        <v>75</v>
      </c>
      <c r="N18" s="117" t="s">
        <v>76</v>
      </c>
      <c r="O18" s="118" t="s">
        <v>77</v>
      </c>
      <c r="P18" s="93" t="s">
        <v>78</v>
      </c>
      <c r="Q18" s="119" t="s">
        <v>79</v>
      </c>
      <c r="R18" s="131"/>
    </row>
    <row r="19" spans="1:18" s="55" customFormat="1" ht="54" customHeight="1" collapsed="1" x14ac:dyDescent="0.15">
      <c r="C19" s="244"/>
      <c r="D19" s="244"/>
      <c r="E19" s="245"/>
      <c r="F19" s="245"/>
      <c r="G19" s="245"/>
      <c r="H19" s="245"/>
      <c r="I19" s="245"/>
      <c r="J19" s="245"/>
      <c r="K19" s="245"/>
      <c r="L19" s="245"/>
      <c r="M19" s="245"/>
      <c r="N19" s="245"/>
      <c r="O19" s="245"/>
      <c r="P19" s="245"/>
      <c r="Q19" s="245"/>
      <c r="R19" s="131"/>
    </row>
    <row r="20" spans="1:18" s="185" customFormat="1" ht="24" customHeight="1" x14ac:dyDescent="0.2">
      <c r="A20" s="187" t="s">
        <v>80</v>
      </c>
      <c r="B20" s="187"/>
    </row>
    <row r="22" spans="1:18" ht="25" customHeight="1" outlineLevel="1" x14ac:dyDescent="0.15">
      <c r="B22" s="125" t="s">
        <v>81</v>
      </c>
      <c r="C22" s="125"/>
      <c r="D22" s="106"/>
      <c r="E22" s="106"/>
      <c r="F22" s="106"/>
      <c r="G22" s="107"/>
      <c r="H22" s="108"/>
      <c r="I22" s="107"/>
      <c r="J22" s="108"/>
      <c r="K22" s="107"/>
      <c r="L22" s="109"/>
      <c r="M22" s="106"/>
      <c r="N22" s="106"/>
      <c r="O22" s="106"/>
      <c r="P22" s="106"/>
      <c r="Q22" s="106"/>
      <c r="R22" s="106"/>
    </row>
    <row r="23" spans="1:18" ht="84" outlineLevel="1" x14ac:dyDescent="0.15">
      <c r="C23" s="124" t="s">
        <v>82</v>
      </c>
      <c r="D23" s="124" t="s">
        <v>83</v>
      </c>
      <c r="E23" s="111" t="s">
        <v>73</v>
      </c>
      <c r="F23" s="114" t="s">
        <v>84</v>
      </c>
      <c r="G23" s="137">
        <v>46295</v>
      </c>
      <c r="H23" s="140">
        <v>46300</v>
      </c>
      <c r="I23" s="137" t="s">
        <v>26</v>
      </c>
      <c r="J23" s="140"/>
      <c r="K23" s="137">
        <v>46311</v>
      </c>
      <c r="L23" s="140">
        <v>46313</v>
      </c>
      <c r="M23" s="116" t="s">
        <v>75</v>
      </c>
      <c r="N23" s="144" t="s">
        <v>85</v>
      </c>
      <c r="O23" s="93" t="s">
        <v>86</v>
      </c>
      <c r="P23" s="93" t="s">
        <v>87</v>
      </c>
      <c r="Q23" s="119"/>
      <c r="R23" s="120"/>
    </row>
    <row r="24" spans="1:18" ht="42" outlineLevel="1" x14ac:dyDescent="0.15">
      <c r="C24" s="124" t="s">
        <v>88</v>
      </c>
      <c r="D24" s="124" t="s">
        <v>83</v>
      </c>
      <c r="E24" s="111" t="s">
        <v>89</v>
      </c>
      <c r="F24" s="114" t="s">
        <v>84</v>
      </c>
      <c r="G24" s="137">
        <v>46295</v>
      </c>
      <c r="H24" s="140">
        <v>46300</v>
      </c>
      <c r="I24" s="137" t="s">
        <v>26</v>
      </c>
      <c r="J24" s="140"/>
      <c r="K24" s="137">
        <v>46311</v>
      </c>
      <c r="L24" s="140">
        <v>46311</v>
      </c>
      <c r="M24" s="116" t="s">
        <v>75</v>
      </c>
      <c r="N24" s="117" t="s">
        <v>90</v>
      </c>
      <c r="O24" s="119" t="s">
        <v>91</v>
      </c>
      <c r="P24" s="119" t="s">
        <v>91</v>
      </c>
      <c r="Q24" s="119"/>
      <c r="R24" s="120"/>
    </row>
    <row r="25" spans="1:18" ht="54" customHeight="1" outlineLevel="1" x14ac:dyDescent="0.15">
      <c r="C25" s="124" t="s">
        <v>92</v>
      </c>
      <c r="D25" s="124" t="s">
        <v>83</v>
      </c>
      <c r="E25" s="111" t="s">
        <v>93</v>
      </c>
      <c r="F25" s="114" t="s">
        <v>65</v>
      </c>
      <c r="G25" s="137">
        <v>46295</v>
      </c>
      <c r="H25" s="140">
        <v>46300</v>
      </c>
      <c r="I25" s="137" t="s">
        <v>26</v>
      </c>
      <c r="J25" s="140"/>
      <c r="K25" s="137">
        <v>46311</v>
      </c>
      <c r="L25" s="140">
        <v>46311</v>
      </c>
      <c r="M25" s="116" t="s">
        <v>75</v>
      </c>
      <c r="N25" s="117" t="s">
        <v>94</v>
      </c>
      <c r="O25" s="119" t="s">
        <v>91</v>
      </c>
      <c r="P25" s="119" t="s">
        <v>91</v>
      </c>
      <c r="Q25" s="119"/>
      <c r="R25" s="120"/>
    </row>
    <row r="26" spans="1:18" ht="54" customHeight="1" outlineLevel="1" x14ac:dyDescent="0.15">
      <c r="C26" s="124" t="s">
        <v>95</v>
      </c>
      <c r="D26" s="124" t="s">
        <v>96</v>
      </c>
      <c r="E26" s="111" t="s">
        <v>97</v>
      </c>
      <c r="F26" s="114" t="s">
        <v>98</v>
      </c>
      <c r="G26" s="137">
        <v>46295</v>
      </c>
      <c r="H26" s="140">
        <v>46311</v>
      </c>
      <c r="I26" s="137" t="s">
        <v>26</v>
      </c>
      <c r="J26" s="140"/>
      <c r="K26" s="137">
        <v>46311</v>
      </c>
      <c r="L26" s="140">
        <v>46312</v>
      </c>
      <c r="M26" s="116" t="s">
        <v>75</v>
      </c>
      <c r="N26" s="117" t="s">
        <v>99</v>
      </c>
      <c r="O26" s="119"/>
      <c r="P26" s="119"/>
      <c r="Q26" s="119"/>
      <c r="R26" s="120"/>
    </row>
    <row r="27" spans="1:18" ht="25" customHeight="1" outlineLevel="1" x14ac:dyDescent="0.15">
      <c r="B27" s="125" t="s">
        <v>100</v>
      </c>
      <c r="C27" s="125"/>
      <c r="D27" s="106"/>
      <c r="E27" s="106"/>
      <c r="F27" s="106"/>
      <c r="G27" s="107"/>
      <c r="H27" s="108"/>
      <c r="I27" s="107"/>
      <c r="J27" s="108"/>
      <c r="K27" s="107"/>
      <c r="L27" s="109"/>
      <c r="M27" s="106"/>
      <c r="N27" s="106"/>
      <c r="O27" s="106"/>
      <c r="P27" s="106"/>
      <c r="Q27" s="106"/>
      <c r="R27" s="106"/>
    </row>
    <row r="28" spans="1:18" ht="54" customHeight="1" outlineLevel="1" x14ac:dyDescent="0.15">
      <c r="C28" s="124" t="s">
        <v>101</v>
      </c>
      <c r="D28" s="124" t="s">
        <v>96</v>
      </c>
      <c r="E28" s="111" t="s">
        <v>73</v>
      </c>
      <c r="F28" s="114" t="s">
        <v>102</v>
      </c>
      <c r="G28" s="137">
        <v>46302</v>
      </c>
      <c r="H28" s="140">
        <v>46300</v>
      </c>
      <c r="I28" s="137" t="s">
        <v>26</v>
      </c>
      <c r="J28" s="140"/>
      <c r="K28" s="137">
        <v>46311</v>
      </c>
      <c r="L28" s="140">
        <v>46313</v>
      </c>
      <c r="M28" s="116" t="s">
        <v>75</v>
      </c>
      <c r="N28" s="131" t="s">
        <v>103</v>
      </c>
      <c r="O28" s="119" t="s">
        <v>1274</v>
      </c>
      <c r="P28" s="119" t="s">
        <v>91</v>
      </c>
      <c r="Q28" s="132"/>
      <c r="R28" s="131"/>
    </row>
    <row r="29" spans="1:18" outlineLevel="1" x14ac:dyDescent="0.15"/>
    <row r="30" spans="1:18" ht="25" customHeight="1" outlineLevel="1" x14ac:dyDescent="0.15">
      <c r="B30" s="125" t="s">
        <v>104</v>
      </c>
      <c r="C30" s="125"/>
      <c r="D30" s="106"/>
      <c r="E30" s="106"/>
      <c r="F30" s="106"/>
      <c r="G30" s="107"/>
      <c r="H30" s="108"/>
      <c r="I30" s="107"/>
      <c r="J30" s="108"/>
      <c r="K30" s="107"/>
      <c r="L30" s="109"/>
      <c r="M30" s="106"/>
      <c r="N30" s="106"/>
      <c r="O30" s="106"/>
      <c r="P30" s="106"/>
      <c r="Q30" s="106"/>
      <c r="R30" s="106"/>
    </row>
    <row r="31" spans="1:18" ht="43" customHeight="1" outlineLevel="1" x14ac:dyDescent="0.15">
      <c r="C31" s="110" t="s">
        <v>105</v>
      </c>
      <c r="D31" s="110" t="s">
        <v>106</v>
      </c>
      <c r="E31" s="111" t="s">
        <v>107</v>
      </c>
      <c r="F31" s="114" t="s">
        <v>108</v>
      </c>
      <c r="G31" s="137">
        <v>46286</v>
      </c>
      <c r="H31" s="139">
        <v>46286</v>
      </c>
      <c r="I31" s="167" t="s">
        <v>26</v>
      </c>
      <c r="J31" s="168"/>
      <c r="K31" s="247" t="s">
        <v>27</v>
      </c>
      <c r="L31" s="168"/>
      <c r="M31" s="169"/>
      <c r="N31" s="170"/>
      <c r="O31" s="173"/>
      <c r="P31" s="173"/>
      <c r="Q31" s="171"/>
      <c r="R31" s="120"/>
    </row>
    <row r="32" spans="1:18" ht="70" customHeight="1" outlineLevel="1" x14ac:dyDescent="0.15">
      <c r="C32" s="110" t="s">
        <v>22</v>
      </c>
      <c r="D32" s="110" t="s">
        <v>109</v>
      </c>
      <c r="E32" s="111" t="s">
        <v>110</v>
      </c>
      <c r="F32" s="114" t="s">
        <v>32</v>
      </c>
      <c r="G32" s="137">
        <v>46295</v>
      </c>
      <c r="H32" s="140">
        <v>46286</v>
      </c>
      <c r="I32" s="137" t="s">
        <v>26</v>
      </c>
      <c r="J32" s="140"/>
      <c r="K32" s="137">
        <v>46293</v>
      </c>
      <c r="L32" s="140">
        <v>46293</v>
      </c>
      <c r="M32" s="116" t="s">
        <v>75</v>
      </c>
      <c r="N32" s="117" t="s">
        <v>111</v>
      </c>
      <c r="O32" s="93" t="s">
        <v>112</v>
      </c>
      <c r="P32" s="93" t="s">
        <v>113</v>
      </c>
      <c r="Q32" s="119"/>
      <c r="R32" s="120"/>
    </row>
    <row r="33" spans="2:18" ht="70" customHeight="1" outlineLevel="1" x14ac:dyDescent="0.15">
      <c r="C33" s="110" t="s">
        <v>114</v>
      </c>
      <c r="D33" s="110" t="s">
        <v>115</v>
      </c>
      <c r="E33" s="111" t="s">
        <v>116</v>
      </c>
      <c r="F33" s="114" t="s">
        <v>102</v>
      </c>
      <c r="G33" s="137">
        <v>46295</v>
      </c>
      <c r="H33" s="140">
        <v>46286</v>
      </c>
      <c r="I33" s="137" t="s">
        <v>26</v>
      </c>
      <c r="J33" s="140"/>
      <c r="K33" s="137">
        <f>K32+7</f>
        <v>46300</v>
      </c>
      <c r="L33" s="140"/>
      <c r="M33" s="116" t="s">
        <v>26</v>
      </c>
      <c r="N33" s="117" t="s">
        <v>117</v>
      </c>
      <c r="O33" s="93"/>
      <c r="P33" s="118"/>
      <c r="Q33" s="119"/>
      <c r="R33" s="120"/>
    </row>
    <row r="34" spans="2:18" ht="70" customHeight="1" outlineLevel="1" x14ac:dyDescent="0.15">
      <c r="C34" s="110" t="s">
        <v>30</v>
      </c>
      <c r="D34" s="110" t="s">
        <v>115</v>
      </c>
      <c r="E34" s="111" t="s">
        <v>118</v>
      </c>
      <c r="F34" s="114" t="s">
        <v>32</v>
      </c>
      <c r="G34" s="137">
        <v>46295</v>
      </c>
      <c r="H34" s="140">
        <v>46295</v>
      </c>
      <c r="I34" s="137">
        <v>46302</v>
      </c>
      <c r="J34" s="140">
        <v>46310</v>
      </c>
      <c r="K34" s="137">
        <v>46308</v>
      </c>
      <c r="L34" s="140"/>
      <c r="M34" s="116" t="s">
        <v>75</v>
      </c>
      <c r="N34" s="117" t="s">
        <v>1273</v>
      </c>
      <c r="O34" s="93" t="s">
        <v>120</v>
      </c>
      <c r="P34" s="93" t="s">
        <v>120</v>
      </c>
      <c r="Q34" s="119"/>
      <c r="R34" s="120"/>
    </row>
    <row r="35" spans="2:18" ht="70" customHeight="1" outlineLevel="1" x14ac:dyDescent="0.15">
      <c r="C35" s="110" t="s">
        <v>121</v>
      </c>
      <c r="D35" s="110" t="s">
        <v>122</v>
      </c>
      <c r="E35" s="111" t="s">
        <v>73</v>
      </c>
      <c r="F35" s="174" t="s">
        <v>123</v>
      </c>
      <c r="G35" s="167"/>
      <c r="H35" s="168"/>
      <c r="I35" s="167"/>
      <c r="J35" s="168"/>
      <c r="K35" s="167"/>
      <c r="L35" s="168"/>
      <c r="M35" s="175"/>
      <c r="N35" s="176"/>
      <c r="O35" s="176"/>
      <c r="P35" s="176"/>
      <c r="Q35" s="176"/>
      <c r="R35" s="120"/>
    </row>
    <row r="36" spans="2:18" ht="23" customHeight="1" outlineLevel="1" x14ac:dyDescent="0.15">
      <c r="B36" s="125" t="s">
        <v>124</v>
      </c>
      <c r="C36" s="125"/>
      <c r="D36" s="106"/>
      <c r="E36" s="106"/>
      <c r="F36" s="106"/>
      <c r="G36" s="138"/>
      <c r="H36" s="108"/>
      <c r="I36" s="138"/>
      <c r="J36" s="108"/>
      <c r="K36" s="138"/>
      <c r="L36" s="109"/>
      <c r="M36" s="106"/>
      <c r="N36" s="106"/>
      <c r="O36" s="106"/>
      <c r="P36" s="106"/>
      <c r="Q36" s="106"/>
      <c r="R36" s="120"/>
    </row>
    <row r="37" spans="2:18" ht="63" customHeight="1" outlineLevel="1" x14ac:dyDescent="0.15">
      <c r="C37" s="123" t="s">
        <v>39</v>
      </c>
      <c r="D37" s="123" t="s">
        <v>125</v>
      </c>
      <c r="E37" s="122" t="s">
        <v>41</v>
      </c>
      <c r="F37" s="114" t="s">
        <v>42</v>
      </c>
      <c r="G37" s="137">
        <v>46279</v>
      </c>
      <c r="H37" s="140"/>
      <c r="I37" s="137" t="s">
        <v>26</v>
      </c>
      <c r="J37" s="140"/>
      <c r="K37" s="137">
        <v>46304</v>
      </c>
      <c r="L37" s="140">
        <v>46314</v>
      </c>
      <c r="M37" s="116" t="s">
        <v>75</v>
      </c>
      <c r="N37" s="117" t="s">
        <v>126</v>
      </c>
      <c r="O37" s="93" t="s">
        <v>127</v>
      </c>
      <c r="P37" s="220" t="s">
        <v>128</v>
      </c>
      <c r="Q37" s="93" t="s">
        <v>129</v>
      </c>
      <c r="R37" s="120"/>
    </row>
    <row r="38" spans="2:18" ht="63" customHeight="1" outlineLevel="1" x14ac:dyDescent="0.15">
      <c r="C38" s="123" t="s">
        <v>101</v>
      </c>
      <c r="D38" s="123" t="s">
        <v>130</v>
      </c>
      <c r="E38" s="111" t="s">
        <v>73</v>
      </c>
      <c r="F38" s="114" t="s">
        <v>102</v>
      </c>
      <c r="G38" s="137">
        <v>46302</v>
      </c>
      <c r="H38" s="140"/>
      <c r="I38" s="137" t="s">
        <v>26</v>
      </c>
      <c r="J38" s="140"/>
      <c r="K38" s="137">
        <v>46304</v>
      </c>
      <c r="L38" s="237"/>
      <c r="M38" s="116" t="s">
        <v>75</v>
      </c>
      <c r="N38" s="131" t="s">
        <v>1275</v>
      </c>
      <c r="O38" s="238"/>
      <c r="P38" s="220"/>
      <c r="Q38" s="238"/>
      <c r="R38" s="131"/>
    </row>
    <row r="39" spans="2:18" ht="27" customHeight="1" outlineLevel="1" x14ac:dyDescent="0.15">
      <c r="B39" s="125" t="s">
        <v>131</v>
      </c>
      <c r="C39" s="125"/>
      <c r="D39" s="106"/>
      <c r="E39" s="106"/>
      <c r="F39" s="106"/>
      <c r="G39" s="138"/>
      <c r="H39" s="108"/>
      <c r="I39" s="138"/>
      <c r="J39" s="108"/>
      <c r="K39" s="138"/>
      <c r="L39" s="109"/>
      <c r="M39" s="106"/>
      <c r="N39" s="106"/>
      <c r="O39" s="106"/>
      <c r="P39" s="106"/>
      <c r="Q39" s="106"/>
      <c r="R39" s="106"/>
    </row>
    <row r="40" spans="2:18" ht="63" customHeight="1" outlineLevel="1" x14ac:dyDescent="0.15">
      <c r="C40" s="121" t="s">
        <v>132</v>
      </c>
      <c r="D40" s="121" t="s">
        <v>72</v>
      </c>
      <c r="E40" s="111" t="s">
        <v>107</v>
      </c>
      <c r="F40" s="114" t="s">
        <v>98</v>
      </c>
      <c r="G40" s="137">
        <v>46280</v>
      </c>
      <c r="H40" s="140">
        <v>46280</v>
      </c>
      <c r="I40" s="137"/>
      <c r="J40" s="140"/>
      <c r="K40" s="137" t="s">
        <v>27</v>
      </c>
      <c r="L40" s="140"/>
      <c r="M40" s="116" t="s">
        <v>75</v>
      </c>
      <c r="N40" s="117" t="s">
        <v>133</v>
      </c>
      <c r="O40" s="119"/>
      <c r="R40" s="183"/>
    </row>
    <row r="41" spans="2:18" ht="63" customHeight="1" outlineLevel="1" x14ac:dyDescent="0.15">
      <c r="C41" s="121" t="s">
        <v>134</v>
      </c>
      <c r="D41" s="121" t="s">
        <v>72</v>
      </c>
      <c r="E41" s="111" t="s">
        <v>135</v>
      </c>
      <c r="F41" s="114" t="s">
        <v>98</v>
      </c>
      <c r="G41" s="137">
        <v>46280</v>
      </c>
      <c r="H41" s="140">
        <v>46280</v>
      </c>
      <c r="I41" s="137" t="s">
        <v>26</v>
      </c>
      <c r="J41" s="140"/>
      <c r="K41" s="137">
        <v>46294</v>
      </c>
      <c r="L41" s="140"/>
      <c r="M41" s="116" t="s">
        <v>75</v>
      </c>
      <c r="N41" s="117" t="s">
        <v>136</v>
      </c>
      <c r="O41" s="49" t="s">
        <v>137</v>
      </c>
      <c r="P41" s="49" t="s">
        <v>138</v>
      </c>
      <c r="Q41" s="119" t="s">
        <v>139</v>
      </c>
      <c r="R41" s="183"/>
    </row>
    <row r="42" spans="2:18" ht="63" customHeight="1" outlineLevel="1" x14ac:dyDescent="0.15">
      <c r="C42" s="121" t="s">
        <v>140</v>
      </c>
      <c r="D42" s="121" t="s">
        <v>141</v>
      </c>
      <c r="E42" s="111" t="s">
        <v>142</v>
      </c>
      <c r="F42" s="114" t="s">
        <v>102</v>
      </c>
      <c r="G42" s="137"/>
      <c r="H42" s="140"/>
      <c r="I42" s="137" t="s">
        <v>26</v>
      </c>
      <c r="J42" s="140"/>
      <c r="K42" s="137"/>
      <c r="L42" s="140"/>
      <c r="M42" s="116"/>
      <c r="N42" s="117" t="s">
        <v>143</v>
      </c>
      <c r="O42" s="49"/>
      <c r="P42" s="49"/>
      <c r="Q42" s="119"/>
      <c r="R42" s="183"/>
    </row>
    <row r="43" spans="2:18" ht="63" customHeight="1" outlineLevel="1" x14ac:dyDescent="0.15">
      <c r="C43" s="121" t="s">
        <v>144</v>
      </c>
      <c r="D43" s="121" t="s">
        <v>72</v>
      </c>
      <c r="E43" s="111" t="s">
        <v>118</v>
      </c>
      <c r="F43" s="114" t="s">
        <v>98</v>
      </c>
      <c r="G43" s="137">
        <v>46280</v>
      </c>
      <c r="H43" s="140">
        <v>46282</v>
      </c>
      <c r="I43" s="137">
        <v>46294</v>
      </c>
      <c r="J43" s="140">
        <v>46310</v>
      </c>
      <c r="K43" s="137">
        <v>46308</v>
      </c>
      <c r="L43" s="140"/>
      <c r="M43" s="116" t="s">
        <v>75</v>
      </c>
      <c r="N43" s="145" t="s">
        <v>145</v>
      </c>
      <c r="O43" s="49" t="s">
        <v>146</v>
      </c>
      <c r="P43" s="49" t="s">
        <v>147</v>
      </c>
      <c r="Q43" s="119"/>
      <c r="R43" s="183"/>
    </row>
    <row r="44" spans="2:18" ht="63" customHeight="1" outlineLevel="1" x14ac:dyDescent="0.15">
      <c r="C44" s="121" t="s">
        <v>148</v>
      </c>
      <c r="D44" s="121" t="s">
        <v>72</v>
      </c>
      <c r="E44" s="111" t="s">
        <v>73</v>
      </c>
      <c r="F44" s="114" t="s">
        <v>98</v>
      </c>
      <c r="G44" s="137">
        <v>46294</v>
      </c>
      <c r="H44" s="140"/>
      <c r="I44" s="137" t="s">
        <v>26</v>
      </c>
      <c r="J44" s="140"/>
      <c r="K44" s="219" t="s">
        <v>149</v>
      </c>
      <c r="L44" s="218" t="s">
        <v>150</v>
      </c>
      <c r="M44" s="116" t="s">
        <v>75</v>
      </c>
      <c r="N44" s="117" t="s">
        <v>151</v>
      </c>
      <c r="O44" s="119"/>
      <c r="P44" s="118"/>
      <c r="Q44" s="119"/>
      <c r="R44" s="183"/>
    </row>
    <row r="45" spans="2:18" ht="63" customHeight="1" outlineLevel="1" x14ac:dyDescent="0.15">
      <c r="C45" s="121" t="s">
        <v>152</v>
      </c>
      <c r="D45" s="121"/>
      <c r="E45" s="111" t="s">
        <v>97</v>
      </c>
      <c r="F45" s="114" t="s">
        <v>98</v>
      </c>
      <c r="G45" s="137">
        <v>46294</v>
      </c>
      <c r="H45" s="140"/>
      <c r="I45" s="137" t="s">
        <v>26</v>
      </c>
      <c r="J45" s="140"/>
      <c r="K45" s="137">
        <v>46308</v>
      </c>
      <c r="L45" s="218"/>
      <c r="M45" s="116" t="s">
        <v>75</v>
      </c>
      <c r="N45" s="117" t="s">
        <v>153</v>
      </c>
      <c r="O45" s="119"/>
      <c r="P45" s="118"/>
      <c r="Q45" s="119"/>
      <c r="R45" s="183"/>
    </row>
    <row r="46" spans="2:18" ht="30" customHeight="1" outlineLevel="1" x14ac:dyDescent="0.15">
      <c r="B46" s="125" t="s">
        <v>154</v>
      </c>
      <c r="C46" s="125"/>
      <c r="D46" s="106"/>
      <c r="E46" s="106"/>
      <c r="F46" s="106"/>
      <c r="G46" s="107"/>
      <c r="H46" s="108"/>
      <c r="I46" s="107"/>
      <c r="J46" s="108"/>
      <c r="K46" s="107"/>
      <c r="L46" s="109"/>
      <c r="M46" s="106"/>
      <c r="N46" s="106"/>
      <c r="O46" s="106"/>
      <c r="P46" s="106"/>
      <c r="Q46" s="106"/>
      <c r="R46" s="106"/>
    </row>
    <row r="47" spans="2:18" ht="63" customHeight="1" outlineLevel="1" x14ac:dyDescent="0.15">
      <c r="C47" s="123" t="s">
        <v>155</v>
      </c>
      <c r="D47" s="123" t="s">
        <v>156</v>
      </c>
      <c r="E47" s="111" t="s">
        <v>135</v>
      </c>
      <c r="F47" s="114" t="s">
        <v>157</v>
      </c>
      <c r="G47" s="137">
        <v>46266</v>
      </c>
      <c r="H47" s="140"/>
      <c r="I47" s="137"/>
      <c r="J47" s="140"/>
      <c r="K47" s="137"/>
      <c r="L47" s="140"/>
      <c r="M47" s="116"/>
      <c r="N47" s="117" t="s">
        <v>158</v>
      </c>
      <c r="O47" s="119"/>
      <c r="P47" s="118"/>
      <c r="Q47" s="93" t="s">
        <v>159</v>
      </c>
      <c r="R47" s="120"/>
    </row>
    <row r="48" spans="2:18" ht="63" customHeight="1" outlineLevel="1" x14ac:dyDescent="0.15">
      <c r="C48" s="123" t="s">
        <v>160</v>
      </c>
      <c r="D48" s="123" t="s">
        <v>72</v>
      </c>
      <c r="E48" s="111" t="s">
        <v>118</v>
      </c>
      <c r="F48" s="114" t="s">
        <v>157</v>
      </c>
      <c r="G48" s="137">
        <v>46266</v>
      </c>
      <c r="H48" s="140"/>
      <c r="I48" s="137"/>
      <c r="J48" s="140"/>
      <c r="K48" s="137"/>
      <c r="L48" s="140"/>
      <c r="M48" s="116"/>
      <c r="N48" s="117" t="s">
        <v>161</v>
      </c>
      <c r="O48" s="119"/>
      <c r="P48" s="93" t="s">
        <v>162</v>
      </c>
      <c r="Q48" s="93" t="s">
        <v>163</v>
      </c>
      <c r="R48" s="120"/>
    </row>
    <row r="49" spans="1:18" ht="63" customHeight="1" outlineLevel="1" x14ac:dyDescent="0.15">
      <c r="C49" s="123" t="s">
        <v>164</v>
      </c>
      <c r="D49" s="123" t="s">
        <v>165</v>
      </c>
      <c r="E49" s="111" t="s">
        <v>73</v>
      </c>
      <c r="F49" s="112" t="s">
        <v>166</v>
      </c>
      <c r="G49" s="137"/>
      <c r="H49" s="140"/>
      <c r="I49" s="137"/>
      <c r="J49" s="140"/>
      <c r="K49" s="137"/>
      <c r="L49" s="140"/>
      <c r="M49" s="116"/>
      <c r="N49" s="117"/>
      <c r="O49" s="93" t="s">
        <v>167</v>
      </c>
      <c r="P49" s="118"/>
      <c r="Q49" s="119"/>
      <c r="R49" s="120"/>
    </row>
    <row r="50" spans="1:18" ht="30" customHeight="1" outlineLevel="1" x14ac:dyDescent="0.15">
      <c r="B50" s="125" t="s">
        <v>168</v>
      </c>
      <c r="C50" s="125"/>
      <c r="D50" s="106"/>
      <c r="E50" s="106"/>
      <c r="F50" s="106"/>
      <c r="G50" s="107"/>
      <c r="H50" s="108"/>
      <c r="I50" s="107"/>
      <c r="J50" s="108"/>
      <c r="K50" s="107"/>
      <c r="L50" s="109"/>
      <c r="M50" s="106"/>
      <c r="N50" s="106"/>
      <c r="O50" s="106"/>
      <c r="P50" s="106"/>
      <c r="Q50" s="106"/>
      <c r="R50" s="106"/>
    </row>
    <row r="51" spans="1:18" ht="63" customHeight="1" outlineLevel="1" x14ac:dyDescent="0.15">
      <c r="C51" s="123" t="s">
        <v>169</v>
      </c>
      <c r="D51" s="123" t="s">
        <v>156</v>
      </c>
      <c r="E51" s="111" t="s">
        <v>135</v>
      </c>
      <c r="F51" s="114" t="s">
        <v>157</v>
      </c>
      <c r="G51" s="137">
        <v>46266</v>
      </c>
      <c r="H51" s="140"/>
      <c r="I51" s="137"/>
      <c r="J51" s="140"/>
      <c r="K51" s="137"/>
      <c r="L51" s="140"/>
      <c r="M51" s="116"/>
      <c r="N51" s="117" t="s">
        <v>170</v>
      </c>
      <c r="O51" s="119"/>
      <c r="P51" s="118"/>
      <c r="Q51" s="93" t="s">
        <v>171</v>
      </c>
      <c r="R51" s="120"/>
    </row>
    <row r="52" spans="1:18" ht="63" customHeight="1" outlineLevel="1" x14ac:dyDescent="0.15">
      <c r="C52" s="123" t="s">
        <v>172</v>
      </c>
      <c r="D52" s="123" t="s">
        <v>72</v>
      </c>
      <c r="E52" s="111" t="s">
        <v>118</v>
      </c>
      <c r="F52" s="114" t="s">
        <v>157</v>
      </c>
      <c r="G52" s="137">
        <v>46266</v>
      </c>
      <c r="H52" s="140"/>
      <c r="I52" s="137"/>
      <c r="J52" s="140"/>
      <c r="K52" s="137"/>
      <c r="L52" s="140"/>
      <c r="M52" s="116"/>
      <c r="N52" s="117" t="s">
        <v>161</v>
      </c>
      <c r="O52" s="93" t="s">
        <v>173</v>
      </c>
      <c r="P52" s="93" t="s">
        <v>174</v>
      </c>
      <c r="Q52" s="93" t="s">
        <v>175</v>
      </c>
      <c r="R52" s="120"/>
    </row>
    <row r="53" spans="1:18" ht="63" customHeight="1" outlineLevel="1" x14ac:dyDescent="0.15">
      <c r="C53" s="123" t="s">
        <v>176</v>
      </c>
      <c r="D53" s="123" t="s">
        <v>165</v>
      </c>
      <c r="E53" s="111" t="s">
        <v>73</v>
      </c>
      <c r="F53" s="112" t="s">
        <v>166</v>
      </c>
      <c r="G53" s="137">
        <v>46266</v>
      </c>
      <c r="H53" s="140"/>
      <c r="I53" s="137"/>
      <c r="J53" s="140"/>
      <c r="K53" s="137"/>
      <c r="L53" s="140"/>
      <c r="M53" s="116"/>
      <c r="N53" s="117"/>
      <c r="O53" s="119"/>
      <c r="P53" s="118"/>
      <c r="Q53" s="119"/>
      <c r="R53" s="120"/>
    </row>
    <row r="54" spans="1:18" ht="54" customHeight="1" outlineLevel="1" x14ac:dyDescent="0.15">
      <c r="C54" s="95"/>
      <c r="D54" s="95"/>
      <c r="E54" s="95"/>
      <c r="F54" s="95"/>
      <c r="G54" s="95"/>
      <c r="H54" s="95"/>
      <c r="I54" s="95"/>
      <c r="J54" s="95"/>
      <c r="K54" s="95"/>
      <c r="L54" s="95"/>
      <c r="M54" s="95"/>
      <c r="N54" s="95"/>
      <c r="O54" s="95"/>
      <c r="P54" s="95"/>
      <c r="Q54" s="95"/>
      <c r="R54" s="131"/>
    </row>
    <row r="55" spans="1:18" s="185" customFormat="1" ht="24" customHeight="1" x14ac:dyDescent="0.2">
      <c r="A55" s="187" t="s">
        <v>177</v>
      </c>
      <c r="B55" s="187"/>
    </row>
    <row r="56" spans="1:18" ht="30" customHeight="1" outlineLevel="1" x14ac:dyDescent="0.15">
      <c r="B56" s="125" t="s">
        <v>178</v>
      </c>
      <c r="C56" s="125"/>
      <c r="D56" s="106"/>
      <c r="E56" s="106"/>
      <c r="F56" s="106"/>
      <c r="G56" s="107"/>
      <c r="H56" s="108"/>
      <c r="I56" s="107"/>
      <c r="J56" s="108"/>
      <c r="K56" s="107"/>
      <c r="L56" s="109"/>
      <c r="M56" s="106"/>
      <c r="N56" s="106"/>
      <c r="O56" s="106"/>
      <c r="P56" s="106"/>
      <c r="Q56" s="106"/>
      <c r="R56" s="106"/>
    </row>
    <row r="57" spans="1:18" ht="98" outlineLevel="1" x14ac:dyDescent="0.15">
      <c r="C57" s="124" t="s">
        <v>179</v>
      </c>
      <c r="D57" s="124" t="s">
        <v>83</v>
      </c>
      <c r="E57" s="111" t="s">
        <v>53</v>
      </c>
      <c r="F57" s="114" t="s">
        <v>54</v>
      </c>
      <c r="G57" s="137">
        <v>46295</v>
      </c>
      <c r="H57" s="140"/>
      <c r="I57" s="137">
        <v>46309</v>
      </c>
      <c r="J57" s="140"/>
      <c r="K57" s="137">
        <v>46311</v>
      </c>
      <c r="L57" s="140"/>
      <c r="M57" s="116" t="s">
        <v>75</v>
      </c>
      <c r="N57" s="117" t="s">
        <v>61</v>
      </c>
      <c r="O57" s="118" t="s">
        <v>180</v>
      </c>
      <c r="P57" s="118" t="s">
        <v>57</v>
      </c>
      <c r="Q57" s="119"/>
      <c r="R57" s="120" t="s">
        <v>58</v>
      </c>
    </row>
    <row r="58" spans="1:18" ht="28" customHeight="1" outlineLevel="1" x14ac:dyDescent="0.15">
      <c r="B58" s="125" t="s">
        <v>181</v>
      </c>
      <c r="C58" s="125"/>
      <c r="D58" s="106"/>
      <c r="E58" s="106"/>
      <c r="F58" s="106"/>
      <c r="G58" s="107"/>
      <c r="H58" s="108"/>
      <c r="I58" s="107"/>
      <c r="J58" s="108"/>
      <c r="K58" s="107"/>
      <c r="L58" s="109"/>
      <c r="M58" s="106"/>
      <c r="N58" s="106"/>
      <c r="O58" s="106"/>
      <c r="P58" s="106"/>
      <c r="Q58" s="106"/>
      <c r="R58" s="131"/>
    </row>
    <row r="59" spans="1:18" ht="54" customHeight="1" outlineLevel="1" x14ac:dyDescent="0.15">
      <c r="C59" s="124" t="s">
        <v>182</v>
      </c>
      <c r="D59" s="124" t="s">
        <v>83</v>
      </c>
      <c r="E59" s="111" t="s">
        <v>183</v>
      </c>
      <c r="F59" s="114" t="s">
        <v>65</v>
      </c>
      <c r="G59" s="137">
        <v>46283</v>
      </c>
      <c r="H59" s="140"/>
      <c r="I59" s="137" t="s">
        <v>26</v>
      </c>
      <c r="J59" s="140"/>
      <c r="K59" s="137">
        <v>46288</v>
      </c>
      <c r="L59" s="140"/>
      <c r="M59" s="116" t="s">
        <v>75</v>
      </c>
      <c r="N59" s="117" t="s">
        <v>184</v>
      </c>
      <c r="O59" s="93" t="s">
        <v>67</v>
      </c>
      <c r="P59" s="93" t="s">
        <v>68</v>
      </c>
      <c r="Q59" s="93" t="s">
        <v>69</v>
      </c>
      <c r="R59" s="120"/>
    </row>
    <row r="60" spans="1:18" ht="54" customHeight="1" outlineLevel="1" x14ac:dyDescent="0.15">
      <c r="C60" s="124" t="s">
        <v>185</v>
      </c>
      <c r="D60" s="124" t="s">
        <v>83</v>
      </c>
      <c r="E60" s="111" t="s">
        <v>186</v>
      </c>
      <c r="F60" s="114" t="s">
        <v>65</v>
      </c>
      <c r="G60" s="137">
        <v>46283</v>
      </c>
      <c r="H60" s="140"/>
      <c r="I60" s="137" t="s">
        <v>26</v>
      </c>
      <c r="J60" s="140"/>
      <c r="K60" s="137">
        <v>46288</v>
      </c>
      <c r="L60" s="140"/>
      <c r="M60" s="116" t="s">
        <v>75</v>
      </c>
      <c r="N60" s="117" t="s">
        <v>184</v>
      </c>
      <c r="O60" s="93" t="s">
        <v>67</v>
      </c>
      <c r="P60" s="93" t="s">
        <v>68</v>
      </c>
      <c r="Q60" s="93" t="s">
        <v>69</v>
      </c>
      <c r="R60" s="120"/>
    </row>
    <row r="61" spans="1:18" ht="28" customHeight="1" outlineLevel="1" x14ac:dyDescent="0.15">
      <c r="B61" s="125" t="s">
        <v>187</v>
      </c>
      <c r="C61" s="125"/>
      <c r="D61" s="106"/>
      <c r="E61" s="106"/>
      <c r="F61" s="106"/>
      <c r="G61" s="107"/>
      <c r="H61" s="108"/>
      <c r="I61" s="107"/>
      <c r="J61" s="108"/>
      <c r="K61" s="107"/>
      <c r="L61" s="109"/>
      <c r="M61" s="106"/>
      <c r="N61" s="106"/>
      <c r="O61" s="106"/>
      <c r="P61" s="106"/>
      <c r="Q61" s="106"/>
      <c r="R61" s="131"/>
    </row>
    <row r="62" spans="1:18" ht="63" customHeight="1" outlineLevel="1" x14ac:dyDescent="0.15">
      <c r="C62" s="136" t="s">
        <v>188</v>
      </c>
      <c r="D62" s="135" t="s">
        <v>72</v>
      </c>
      <c r="E62" s="122" t="s">
        <v>189</v>
      </c>
      <c r="F62" s="130" t="s">
        <v>190</v>
      </c>
      <c r="G62" s="137">
        <v>46381</v>
      </c>
      <c r="H62" s="140"/>
      <c r="I62" s="137" t="s">
        <v>26</v>
      </c>
      <c r="J62" s="140"/>
      <c r="K62" s="137">
        <v>46409</v>
      </c>
      <c r="L62" s="140"/>
      <c r="M62" s="116" t="s">
        <v>75</v>
      </c>
      <c r="N62" s="131" t="s">
        <v>191</v>
      </c>
      <c r="O62" s="132"/>
      <c r="P62" s="134"/>
      <c r="Q62" s="132"/>
      <c r="R62" s="131"/>
    </row>
    <row r="63" spans="1:18" ht="23" customHeight="1" outlineLevel="1" x14ac:dyDescent="0.15">
      <c r="B63" s="127" t="s">
        <v>192</v>
      </c>
      <c r="C63" s="127"/>
      <c r="D63" s="106"/>
      <c r="E63" s="106"/>
      <c r="F63" s="106"/>
      <c r="G63" s="107"/>
      <c r="H63" s="108"/>
      <c r="I63" s="107"/>
      <c r="J63" s="108"/>
      <c r="K63" s="107"/>
      <c r="L63" s="109"/>
      <c r="M63" s="106"/>
      <c r="N63" s="106"/>
      <c r="O63" s="106"/>
      <c r="P63" s="106"/>
      <c r="Q63" s="106"/>
      <c r="R63" s="106"/>
    </row>
    <row r="64" spans="1:18" ht="97" customHeight="1" outlineLevel="1" x14ac:dyDescent="0.15">
      <c r="C64" s="128" t="s">
        <v>193</v>
      </c>
      <c r="D64" s="128" t="s">
        <v>194</v>
      </c>
      <c r="E64" s="111" t="s">
        <v>195</v>
      </c>
      <c r="F64" s="114" t="s">
        <v>196</v>
      </c>
      <c r="G64" s="115">
        <v>46308</v>
      </c>
      <c r="H64" s="140"/>
      <c r="I64" s="115">
        <v>46308</v>
      </c>
      <c r="J64" s="140"/>
      <c r="K64" s="137">
        <v>46311</v>
      </c>
      <c r="L64" s="140"/>
      <c r="M64" s="116"/>
      <c r="N64" s="117" t="s">
        <v>197</v>
      </c>
      <c r="O64" s="119"/>
      <c r="P64" s="119"/>
      <c r="Q64" s="93" t="str">
        <f>HYPERLINK("https://docs.google.com/presentation/d/1OxETjL72qXIDtd-Fn_3Wn867KZE56fy3CgL7fNUlWK8/edit?slide=id.g3f5ab37db36_11_16#slide=id.g3f5ab37db36_11_16", "POR")</f>
        <v>POR</v>
      </c>
      <c r="R64" s="120"/>
    </row>
    <row r="65" spans="1:18" ht="23" customHeight="1" outlineLevel="1" x14ac:dyDescent="0.15">
      <c r="B65" s="125" t="s">
        <v>198</v>
      </c>
      <c r="C65" s="165"/>
      <c r="D65" s="133"/>
      <c r="E65" s="106"/>
      <c r="F65" s="106"/>
      <c r="G65" s="107"/>
      <c r="H65" s="109"/>
      <c r="I65" s="107"/>
      <c r="J65" s="109"/>
      <c r="K65" s="107"/>
      <c r="L65" s="109"/>
      <c r="M65" s="106"/>
      <c r="N65" s="106"/>
      <c r="O65" s="106"/>
      <c r="P65" s="106"/>
      <c r="Q65" s="106"/>
      <c r="R65" s="106"/>
    </row>
    <row r="66" spans="1:18" ht="121" customHeight="1" outlineLevel="1" x14ac:dyDescent="0.15">
      <c r="C66" s="110" t="s">
        <v>198</v>
      </c>
      <c r="D66" s="110" t="s">
        <v>199</v>
      </c>
      <c r="E66" s="122" t="s">
        <v>200</v>
      </c>
      <c r="F66" s="114" t="s">
        <v>201</v>
      </c>
      <c r="G66" s="137"/>
      <c r="H66" s="140"/>
      <c r="I66" s="137"/>
      <c r="J66" s="140"/>
      <c r="K66" s="137"/>
      <c r="L66" s="140"/>
      <c r="M66" s="116"/>
      <c r="N66" s="117"/>
      <c r="O66" s="119"/>
      <c r="P66" s="119"/>
      <c r="Q66" s="119"/>
      <c r="R66" s="120"/>
    </row>
    <row r="67" spans="1:18" ht="22" customHeight="1" x14ac:dyDescent="0.15">
      <c r="C67" s="177"/>
      <c r="D67" s="177"/>
      <c r="E67" s="211"/>
      <c r="F67" s="178"/>
      <c r="G67" s="179"/>
      <c r="H67" s="180"/>
      <c r="I67" s="179"/>
      <c r="J67" s="180"/>
      <c r="K67" s="179"/>
      <c r="L67" s="181"/>
      <c r="M67" s="182"/>
      <c r="N67" s="183"/>
      <c r="O67" s="184"/>
      <c r="P67" s="212"/>
      <c r="Q67" s="184"/>
      <c r="R67" s="183"/>
    </row>
    <row r="68" spans="1:18" s="185" customFormat="1" ht="24" customHeight="1" x14ac:dyDescent="0.2">
      <c r="A68" s="187" t="s">
        <v>202</v>
      </c>
      <c r="B68" s="187"/>
    </row>
    <row r="69" spans="1:18" ht="25" customHeight="1" outlineLevel="1" x14ac:dyDescent="0.15">
      <c r="B69" s="125" t="s">
        <v>203</v>
      </c>
      <c r="C69" s="125"/>
      <c r="D69" s="106"/>
      <c r="E69" s="106"/>
      <c r="F69" s="106"/>
      <c r="G69" s="107"/>
      <c r="H69" s="108"/>
      <c r="I69" s="107"/>
      <c r="J69" s="108"/>
      <c r="K69" s="107"/>
      <c r="L69" s="109"/>
      <c r="M69" s="106"/>
      <c r="N69" s="106"/>
      <c r="O69" s="106"/>
      <c r="P69" s="106"/>
      <c r="Q69" s="106"/>
      <c r="R69" s="106"/>
    </row>
    <row r="70" spans="1:18" ht="70" customHeight="1" outlineLevel="1" x14ac:dyDescent="0.15">
      <c r="C70" s="110" t="s">
        <v>105</v>
      </c>
      <c r="D70" s="110" t="s">
        <v>204</v>
      </c>
      <c r="E70" s="111" t="s">
        <v>107</v>
      </c>
      <c r="F70" s="114" t="s">
        <v>205</v>
      </c>
      <c r="G70" s="137">
        <v>46374</v>
      </c>
      <c r="H70" s="140"/>
      <c r="I70" s="137"/>
      <c r="J70" s="140"/>
      <c r="K70" s="137" t="s">
        <v>27</v>
      </c>
      <c r="L70" s="140"/>
      <c r="M70" s="98"/>
      <c r="N70" s="97"/>
      <c r="O70" s="97"/>
      <c r="P70" s="97"/>
      <c r="Q70" s="97"/>
      <c r="R70" s="120"/>
    </row>
    <row r="71" spans="1:18" ht="70" customHeight="1" outlineLevel="1" x14ac:dyDescent="0.15">
      <c r="C71" s="110" t="s">
        <v>22</v>
      </c>
      <c r="D71" s="110" t="s">
        <v>206</v>
      </c>
      <c r="E71" s="111" t="s">
        <v>135</v>
      </c>
      <c r="F71" s="114" t="s">
        <v>102</v>
      </c>
      <c r="G71" s="137">
        <v>46381</v>
      </c>
      <c r="H71" s="140"/>
      <c r="I71" s="137" t="s">
        <v>26</v>
      </c>
      <c r="J71" s="140"/>
      <c r="K71" s="137">
        <v>46409</v>
      </c>
      <c r="L71" s="140"/>
      <c r="M71" s="116" t="s">
        <v>75</v>
      </c>
      <c r="N71" s="117"/>
      <c r="O71" s="119"/>
      <c r="P71" s="119"/>
      <c r="Q71" s="119"/>
      <c r="R71" s="120"/>
    </row>
    <row r="72" spans="1:18" ht="70" customHeight="1" outlineLevel="1" x14ac:dyDescent="0.15">
      <c r="C72" s="110" t="s">
        <v>207</v>
      </c>
      <c r="D72" s="110" t="s">
        <v>206</v>
      </c>
      <c r="E72" s="111" t="s">
        <v>116</v>
      </c>
      <c r="F72" s="114" t="s">
        <v>102</v>
      </c>
      <c r="G72" s="137">
        <v>46388</v>
      </c>
      <c r="H72" s="140"/>
      <c r="I72" s="137" t="s">
        <v>26</v>
      </c>
      <c r="J72" s="140"/>
      <c r="K72" s="137">
        <f>K71+7</f>
        <v>46416</v>
      </c>
      <c r="L72" s="140"/>
      <c r="M72" s="116" t="s">
        <v>75</v>
      </c>
      <c r="N72" s="117" t="s">
        <v>208</v>
      </c>
      <c r="O72" s="93"/>
      <c r="P72" s="118"/>
      <c r="Q72" s="119"/>
      <c r="R72" s="120"/>
    </row>
    <row r="73" spans="1:18" ht="70" customHeight="1" outlineLevel="1" x14ac:dyDescent="0.15">
      <c r="C73" s="110" t="s">
        <v>209</v>
      </c>
      <c r="D73" s="110" t="s">
        <v>206</v>
      </c>
      <c r="E73" s="111" t="s">
        <v>118</v>
      </c>
      <c r="F73" s="114" t="s">
        <v>32</v>
      </c>
      <c r="G73" s="137">
        <v>46381</v>
      </c>
      <c r="H73" s="140"/>
      <c r="I73" s="137">
        <v>46394</v>
      </c>
      <c r="J73" s="140"/>
      <c r="K73" s="137">
        <f>K71</f>
        <v>46409</v>
      </c>
      <c r="L73" s="140"/>
      <c r="M73" s="116" t="s">
        <v>210</v>
      </c>
      <c r="N73" s="117"/>
      <c r="O73" s="119"/>
      <c r="P73" s="119"/>
      <c r="Q73" s="119"/>
      <c r="R73" s="120"/>
    </row>
    <row r="74" spans="1:18" ht="70" customHeight="1" outlineLevel="1" x14ac:dyDescent="0.15">
      <c r="C74" s="110" t="s">
        <v>121</v>
      </c>
      <c r="D74" s="110" t="s">
        <v>211</v>
      </c>
      <c r="E74" s="111" t="s">
        <v>73</v>
      </c>
      <c r="F74" s="114" t="s">
        <v>205</v>
      </c>
      <c r="G74" s="137">
        <f>G73</f>
        <v>46381</v>
      </c>
      <c r="H74" s="140"/>
      <c r="I74" s="137" t="s">
        <v>26</v>
      </c>
      <c r="J74" s="140"/>
      <c r="K74" s="137">
        <f>K73</f>
        <v>46409</v>
      </c>
      <c r="L74" s="140"/>
      <c r="M74" s="116" t="s">
        <v>75</v>
      </c>
      <c r="N74" s="117"/>
      <c r="O74" s="119"/>
      <c r="P74" s="119"/>
      <c r="Q74" s="119"/>
      <c r="R74" s="120"/>
    </row>
    <row r="75" spans="1:18" ht="33" customHeight="1" outlineLevel="1" x14ac:dyDescent="0.15">
      <c r="B75" s="125" t="s">
        <v>38</v>
      </c>
      <c r="C75" s="125"/>
      <c r="D75" s="133"/>
      <c r="E75" s="106"/>
      <c r="F75" s="106"/>
      <c r="G75" s="107"/>
      <c r="H75" s="109"/>
      <c r="I75" s="107"/>
      <c r="J75" s="109"/>
      <c r="K75" s="107"/>
      <c r="L75" s="109"/>
      <c r="M75" s="106"/>
      <c r="N75" s="106"/>
      <c r="O75" s="106"/>
      <c r="P75" s="106"/>
      <c r="Q75" s="106"/>
      <c r="R75" s="106"/>
    </row>
    <row r="76" spans="1:18" ht="63" customHeight="1" outlineLevel="1" x14ac:dyDescent="0.15">
      <c r="C76" s="123" t="s">
        <v>39</v>
      </c>
      <c r="D76" s="123" t="s">
        <v>212</v>
      </c>
      <c r="E76" s="122" t="s">
        <v>41</v>
      </c>
      <c r="F76" s="114" t="s">
        <v>213</v>
      </c>
      <c r="G76" s="137">
        <v>46381</v>
      </c>
      <c r="H76" s="140"/>
      <c r="I76" s="137" t="s">
        <v>26</v>
      </c>
      <c r="J76" s="140"/>
      <c r="K76" s="137">
        <v>46409</v>
      </c>
      <c r="L76" s="140"/>
      <c r="M76" s="116"/>
      <c r="N76" s="117" t="s">
        <v>214</v>
      </c>
      <c r="O76" s="119"/>
      <c r="P76" s="118"/>
      <c r="Q76" s="119"/>
      <c r="R76" s="120"/>
    </row>
    <row r="77" spans="1:18" ht="33" customHeight="1" outlineLevel="1" x14ac:dyDescent="0.15">
      <c r="B77" s="125" t="s">
        <v>215</v>
      </c>
      <c r="C77" s="125"/>
      <c r="D77" s="133"/>
      <c r="E77" s="106"/>
      <c r="F77" s="106"/>
      <c r="G77" s="107"/>
      <c r="H77" s="109"/>
      <c r="I77" s="107"/>
      <c r="J77" s="109"/>
      <c r="K77" s="107"/>
      <c r="L77" s="109"/>
      <c r="M77" s="106"/>
      <c r="N77" s="106"/>
      <c r="O77" s="106"/>
      <c r="P77" s="106"/>
      <c r="Q77" s="106"/>
      <c r="R77" s="106"/>
    </row>
    <row r="78" spans="1:18" ht="78" customHeight="1" outlineLevel="1" x14ac:dyDescent="0.15">
      <c r="C78" s="126" t="s">
        <v>71</v>
      </c>
      <c r="D78" s="126" t="s">
        <v>216</v>
      </c>
      <c r="E78" s="245" t="s">
        <v>217</v>
      </c>
      <c r="F78" s="114" t="s">
        <v>218</v>
      </c>
      <c r="G78" s="137">
        <v>46301</v>
      </c>
      <c r="H78" s="140">
        <v>46301</v>
      </c>
      <c r="I78" s="137" t="s">
        <v>26</v>
      </c>
      <c r="J78" s="140"/>
      <c r="K78" s="137">
        <v>46309</v>
      </c>
      <c r="L78" s="140">
        <v>46309</v>
      </c>
      <c r="M78" s="116" t="s">
        <v>75</v>
      </c>
      <c r="N78" s="117" t="s">
        <v>219</v>
      </c>
      <c r="O78" s="118"/>
      <c r="P78" s="118"/>
      <c r="Q78" s="119"/>
      <c r="R78" s="120"/>
    </row>
    <row r="79" spans="1:18" ht="78" customHeight="1" outlineLevel="1" x14ac:dyDescent="0.15">
      <c r="C79" s="126" t="s">
        <v>71</v>
      </c>
      <c r="D79" s="265" t="s">
        <v>220</v>
      </c>
      <c r="E79" s="245" t="s">
        <v>217</v>
      </c>
      <c r="F79" s="114" t="s">
        <v>218</v>
      </c>
      <c r="G79" s="266">
        <v>46323</v>
      </c>
      <c r="H79" s="237"/>
      <c r="I79" s="137" t="s">
        <v>26</v>
      </c>
      <c r="J79" s="237"/>
      <c r="K79" s="266">
        <v>46328</v>
      </c>
      <c r="L79" s="237"/>
      <c r="M79" s="116" t="s">
        <v>75</v>
      </c>
      <c r="N79" s="131" t="s">
        <v>221</v>
      </c>
      <c r="O79" s="134"/>
      <c r="P79" s="134"/>
      <c r="Q79" s="132"/>
      <c r="R79" s="131"/>
    </row>
    <row r="80" spans="1:18" ht="78" customHeight="1" outlineLevel="1" x14ac:dyDescent="0.15">
      <c r="C80" s="126" t="s">
        <v>71</v>
      </c>
      <c r="D80" s="265" t="s">
        <v>222</v>
      </c>
      <c r="E80" s="245" t="s">
        <v>217</v>
      </c>
      <c r="F80" s="114" t="s">
        <v>218</v>
      </c>
      <c r="G80" s="266">
        <v>46351</v>
      </c>
      <c r="H80" s="237"/>
      <c r="I80" s="137" t="s">
        <v>26</v>
      </c>
      <c r="J80" s="237"/>
      <c r="K80" s="266">
        <v>46357</v>
      </c>
      <c r="L80" s="237"/>
      <c r="M80" s="116" t="s">
        <v>75</v>
      </c>
      <c r="N80" s="131" t="s">
        <v>223</v>
      </c>
      <c r="O80" s="134"/>
      <c r="P80" s="134"/>
      <c r="Q80" s="132"/>
      <c r="R80" s="131"/>
    </row>
    <row r="81" spans="1:18" ht="23" customHeight="1" outlineLevel="1" x14ac:dyDescent="0.15">
      <c r="B81" s="125" t="s">
        <v>224</v>
      </c>
      <c r="C81" s="165"/>
      <c r="D81" s="133"/>
      <c r="E81" s="106"/>
      <c r="F81" s="106"/>
      <c r="G81" s="107"/>
      <c r="H81" s="109"/>
      <c r="I81" s="107"/>
      <c r="J81" s="109"/>
      <c r="K81" s="107"/>
      <c r="L81" s="109"/>
      <c r="M81" s="106"/>
      <c r="N81" s="106"/>
      <c r="O81" s="106"/>
      <c r="P81" s="106"/>
      <c r="Q81" s="106"/>
      <c r="R81" s="106"/>
    </row>
    <row r="82" spans="1:18" ht="121" customHeight="1" outlineLevel="1" x14ac:dyDescent="0.15">
      <c r="C82" s="110" t="s">
        <v>225</v>
      </c>
      <c r="D82" s="110" t="s">
        <v>226</v>
      </c>
      <c r="E82" s="122" t="s">
        <v>227</v>
      </c>
      <c r="F82" s="114" t="s">
        <v>54</v>
      </c>
      <c r="G82" s="137">
        <v>46381</v>
      </c>
      <c r="H82" s="140"/>
      <c r="I82" s="137">
        <v>46394</v>
      </c>
      <c r="J82" s="140"/>
      <c r="K82" s="137">
        <f>K83</f>
        <v>0</v>
      </c>
      <c r="L82" s="140"/>
      <c r="M82" s="116" t="s">
        <v>210</v>
      </c>
      <c r="N82" s="117"/>
      <c r="O82" s="119"/>
      <c r="P82" s="119"/>
      <c r="Q82" s="119"/>
      <c r="R82" s="120"/>
    </row>
    <row r="84" spans="1:18" s="185" customFormat="1" ht="24" customHeight="1" x14ac:dyDescent="0.2">
      <c r="A84" s="187" t="s">
        <v>228</v>
      </c>
      <c r="B84" s="187"/>
    </row>
    <row r="85" spans="1:18" ht="30" customHeight="1" outlineLevel="1" x14ac:dyDescent="0.15">
      <c r="B85" s="125" t="s">
        <v>229</v>
      </c>
      <c r="C85" s="125"/>
      <c r="D85" s="106"/>
      <c r="E85" s="106"/>
      <c r="F85" s="106"/>
      <c r="G85" s="107"/>
      <c r="H85" s="108"/>
      <c r="I85" s="107"/>
      <c r="J85" s="108"/>
      <c r="K85" s="107"/>
      <c r="L85" s="109"/>
      <c r="M85" s="106"/>
      <c r="N85" s="106"/>
      <c r="O85" s="106"/>
      <c r="P85" s="106"/>
      <c r="Q85" s="106"/>
      <c r="R85" s="106"/>
    </row>
    <row r="86" spans="1:18" ht="63" customHeight="1" outlineLevel="1" x14ac:dyDescent="0.15">
      <c r="C86" s="123" t="s">
        <v>230</v>
      </c>
      <c r="D86" s="123" t="s">
        <v>216</v>
      </c>
      <c r="E86" s="111" t="s">
        <v>231</v>
      </c>
      <c r="F86" s="114" t="s">
        <v>157</v>
      </c>
      <c r="G86" s="137"/>
      <c r="H86" s="140"/>
      <c r="I86" s="137"/>
      <c r="J86" s="140"/>
      <c r="K86" s="137"/>
      <c r="L86" s="140"/>
      <c r="M86" s="116"/>
      <c r="N86" s="117" t="s">
        <v>158</v>
      </c>
      <c r="O86" s="119"/>
      <c r="P86" s="118"/>
      <c r="Q86" s="93" t="s">
        <v>159</v>
      </c>
      <c r="R86" s="120"/>
    </row>
    <row r="90" spans="1:18" s="185" customFormat="1" ht="24" customHeight="1" x14ac:dyDescent="0.2">
      <c r="A90" s="187" t="s">
        <v>232</v>
      </c>
      <c r="B90" s="187"/>
    </row>
    <row r="91" spans="1:18" ht="30" customHeight="1" outlineLevel="1" x14ac:dyDescent="0.15">
      <c r="B91" s="125" t="s">
        <v>233</v>
      </c>
      <c r="C91" s="125"/>
      <c r="D91" s="106"/>
      <c r="E91" s="106"/>
      <c r="F91" s="106"/>
      <c r="G91" s="107"/>
      <c r="H91" s="108"/>
      <c r="I91" s="107"/>
      <c r="J91" s="108"/>
      <c r="K91" s="107"/>
      <c r="L91" s="109"/>
      <c r="M91" s="106"/>
      <c r="N91" s="106"/>
      <c r="O91" s="106"/>
      <c r="P91" s="106"/>
      <c r="Q91" s="106"/>
      <c r="R91" s="106"/>
    </row>
    <row r="92" spans="1:18" ht="63" customHeight="1" outlineLevel="1" x14ac:dyDescent="0.15">
      <c r="C92" s="123" t="s">
        <v>234</v>
      </c>
      <c r="D92" s="123" t="s">
        <v>72</v>
      </c>
      <c r="E92" s="111" t="s">
        <v>231</v>
      </c>
      <c r="F92" s="114" t="s">
        <v>108</v>
      </c>
      <c r="G92" s="137"/>
      <c r="H92" s="140"/>
      <c r="I92" s="137"/>
      <c r="J92" s="140"/>
      <c r="K92" s="137"/>
      <c r="L92" s="140"/>
      <c r="M92" s="116"/>
      <c r="N92" s="117" t="s">
        <v>158</v>
      </c>
      <c r="O92" s="119"/>
      <c r="P92" s="118"/>
      <c r="Q92" s="93" t="s">
        <v>159</v>
      </c>
      <c r="R92" s="120"/>
    </row>
    <row r="93" spans="1:18" ht="30" customHeight="1" outlineLevel="1" x14ac:dyDescent="0.15">
      <c r="B93" s="125" t="s">
        <v>235</v>
      </c>
      <c r="C93" s="125"/>
      <c r="D93" s="106"/>
      <c r="E93" s="106"/>
      <c r="F93" s="106"/>
      <c r="G93" s="107"/>
      <c r="H93" s="108"/>
      <c r="I93" s="107"/>
      <c r="J93" s="108"/>
      <c r="K93" s="107"/>
      <c r="L93" s="109"/>
      <c r="M93" s="106"/>
      <c r="N93" s="106"/>
      <c r="O93" s="106"/>
      <c r="P93" s="106"/>
      <c r="Q93" s="106"/>
      <c r="R93" s="106"/>
    </row>
    <row r="94" spans="1:18" ht="63" customHeight="1" outlineLevel="1" x14ac:dyDescent="0.15">
      <c r="C94" s="123" t="s">
        <v>236</v>
      </c>
      <c r="D94" s="123" t="s">
        <v>72</v>
      </c>
      <c r="E94" s="111" t="s">
        <v>231</v>
      </c>
      <c r="F94" s="114" t="s">
        <v>108</v>
      </c>
      <c r="G94" s="137"/>
      <c r="H94" s="140"/>
      <c r="I94" s="137"/>
      <c r="J94" s="140"/>
      <c r="K94" s="137"/>
      <c r="L94" s="140"/>
      <c r="M94" s="116"/>
      <c r="N94" s="117" t="s">
        <v>158</v>
      </c>
      <c r="O94" s="119"/>
      <c r="P94" s="118"/>
      <c r="Q94" s="93" t="s">
        <v>159</v>
      </c>
      <c r="R94" s="120"/>
    </row>
    <row r="95" spans="1:18" ht="92" customHeight="1" outlineLevel="1" x14ac:dyDescent="0.15">
      <c r="C95" s="123" t="s">
        <v>237</v>
      </c>
      <c r="D95" s="123" t="s">
        <v>238</v>
      </c>
      <c r="E95" s="111" t="s">
        <v>231</v>
      </c>
      <c r="F95" s="114" t="s">
        <v>239</v>
      </c>
      <c r="G95" s="137"/>
      <c r="H95" s="140"/>
      <c r="I95" s="137"/>
      <c r="J95" s="140"/>
      <c r="K95" s="137"/>
      <c r="L95" s="140"/>
      <c r="M95" s="116"/>
      <c r="N95" s="117" t="s">
        <v>158</v>
      </c>
      <c r="O95" s="119"/>
      <c r="P95" s="118"/>
      <c r="Q95" s="93" t="s">
        <v>159</v>
      </c>
      <c r="R95" s="120"/>
    </row>
    <row r="96" spans="1:18" ht="30" customHeight="1" outlineLevel="1" x14ac:dyDescent="0.15">
      <c r="B96" s="125" t="s">
        <v>240</v>
      </c>
      <c r="C96" s="125"/>
      <c r="D96" s="106"/>
      <c r="E96" s="106"/>
      <c r="F96" s="106"/>
      <c r="G96" s="107"/>
      <c r="H96" s="108"/>
      <c r="I96" s="107"/>
      <c r="J96" s="108"/>
      <c r="K96" s="107"/>
      <c r="L96" s="109"/>
      <c r="M96" s="106"/>
      <c r="N96" s="106"/>
      <c r="O96" s="106"/>
      <c r="P96" s="106"/>
      <c r="Q96" s="106"/>
      <c r="R96" s="106"/>
    </row>
    <row r="97" spans="3:18" ht="63" customHeight="1" outlineLevel="1" x14ac:dyDescent="0.15">
      <c r="C97" s="123" t="s">
        <v>241</v>
      </c>
      <c r="D97" s="123" t="s">
        <v>216</v>
      </c>
      <c r="E97" s="111" t="s">
        <v>231</v>
      </c>
      <c r="F97" s="114" t="s">
        <v>157</v>
      </c>
      <c r="G97" s="137"/>
      <c r="H97" s="140"/>
      <c r="I97" s="137"/>
      <c r="J97" s="140"/>
      <c r="K97" s="137"/>
      <c r="L97" s="140"/>
      <c r="M97" s="116"/>
      <c r="N97" s="117" t="s">
        <v>170</v>
      </c>
      <c r="O97" s="119"/>
      <c r="P97" s="118"/>
      <c r="Q97" s="93" t="s">
        <v>171</v>
      </c>
      <c r="R97" s="120"/>
    </row>
  </sheetData>
  <autoFilter ref="C4:R84" xr:uid="{00000000-0009-0000-0000-000000000000}"/>
  <mergeCells count="5">
    <mergeCell ref="G3:H3"/>
    <mergeCell ref="I3:J3"/>
    <mergeCell ref="K3:L3"/>
    <mergeCell ref="M3:N3"/>
    <mergeCell ref="O3:R3"/>
  </mergeCells>
  <conditionalFormatting sqref="G7:G8 I7:I8 K7:K8 G10 I10 K10 G23:G26 I23:I26 K23:K26 G28 I28 K28 G31:G35 I31:I35 G37:G38 I37:I38 K37:K38 G40:G45 I40:I45 K40:K45 G47:G49 I47:I49 K47:K49 G51:G53 I51:I53 K51:K53 G57 I57 K57 G59:G60 I59:I60 K59:K60 G62 I62 K62 G64 I64 K64 G70:G74 I70:I74 K70:K74 G76 I76 K76 G78:G80 I78:I80 K78:K80 G86 I86 K86 G97 I97 K97">
    <cfRule type="expression" dxfId="269" priority="150">
      <formula>AND(G7&lt;&gt;"",H7&lt;&gt;"",H7&lt;=G7)</formula>
    </cfRule>
    <cfRule type="expression" dxfId="268" priority="151">
      <formula>AND(G7&lt;&gt;"",H7&lt;&gt;"",H7&gt;G7)</formula>
    </cfRule>
    <cfRule type="expression" dxfId="267" priority="152">
      <formula>AND(G7&lt;&gt;"",H7="",G7&lt;TODAY())</formula>
    </cfRule>
    <cfRule type="expression" dxfId="266" priority="153">
      <formula>AND(G7&lt;&gt;"",H7="",G7&gt;=TODAY(),G7&lt;=TODAY()+14)</formula>
    </cfRule>
    <cfRule type="expression" dxfId="265" priority="154">
      <formula>G7=""</formula>
    </cfRule>
  </conditionalFormatting>
  <conditionalFormatting sqref="G14:G16 I14:I16 K14:K16">
    <cfRule type="expression" dxfId="264" priority="137">
      <formula>AND(G14&lt;&gt;"",H14&lt;&gt;"",H14&lt;=G14)</formula>
    </cfRule>
    <cfRule type="expression" dxfId="263" priority="138">
      <formula>AND(G14&lt;&gt;"",H14&lt;&gt;"",H14&gt;G14)</formula>
    </cfRule>
    <cfRule type="expression" dxfId="262" priority="139">
      <formula>AND(G14&lt;&gt;"",H14="",G14&lt;TODAY())</formula>
    </cfRule>
    <cfRule type="expression" dxfId="261" priority="140">
      <formula>AND(G14&lt;&gt;"",H14="",G14&gt;=TODAY(),G14&lt;=TODAY()+14)</formula>
    </cfRule>
    <cfRule type="expression" dxfId="260" priority="141">
      <formula>G14=""</formula>
    </cfRule>
  </conditionalFormatting>
  <conditionalFormatting sqref="G18:G19 I18:I19 K18:K19">
    <cfRule type="expression" dxfId="259" priority="14">
      <formula>AND(G18&lt;&gt;"",H18&lt;&gt;"",H18&lt;=G18)</formula>
    </cfRule>
    <cfRule type="expression" dxfId="258" priority="15">
      <formula>AND(G18&lt;&gt;"",H18&lt;&gt;"",H18&gt;G18)</formula>
    </cfRule>
    <cfRule type="expression" dxfId="257" priority="16">
      <formula>AND(G18&lt;&gt;"",H18="",G18&lt;TODAY())</formula>
    </cfRule>
    <cfRule type="expression" dxfId="256" priority="17">
      <formula>AND(G18&lt;&gt;"",H18="",G18&gt;=TODAY(),G18&lt;=TODAY()+14)</formula>
    </cfRule>
    <cfRule type="expression" dxfId="255" priority="18">
      <formula>G18=""</formula>
    </cfRule>
  </conditionalFormatting>
  <conditionalFormatting sqref="G66:G67 I66:I67 K66:K67">
    <cfRule type="expression" dxfId="254" priority="103">
      <formula>AND(G66&lt;&gt;"",H66&lt;&gt;"",H66&lt;=G66)</formula>
    </cfRule>
    <cfRule type="expression" dxfId="253" priority="104">
      <formula>AND(G66&lt;&gt;"",H66&lt;&gt;"",H66&gt;G66)</formula>
    </cfRule>
    <cfRule type="expression" dxfId="252" priority="105">
      <formula>AND(G66&lt;&gt;"",H66="",G66&lt;TODAY())</formula>
    </cfRule>
    <cfRule type="expression" dxfId="251" priority="106">
      <formula>AND(G66&lt;&gt;"",H66="",G66&gt;=TODAY(),G66&lt;=TODAY()+14)</formula>
    </cfRule>
    <cfRule type="expression" dxfId="250" priority="107">
      <formula>G66=""</formula>
    </cfRule>
  </conditionalFormatting>
  <conditionalFormatting sqref="G82 I82 K82">
    <cfRule type="expression" dxfId="249" priority="124">
      <formula>AND(G82&lt;&gt;"",H82&lt;&gt;"",H82&lt;=G82)</formula>
    </cfRule>
    <cfRule type="expression" dxfId="248" priority="125">
      <formula>AND(G82&lt;&gt;"",H82&lt;&gt;"",H82&gt;G82)</formula>
    </cfRule>
    <cfRule type="expression" dxfId="247" priority="126">
      <formula>AND(G82&lt;&gt;"",H82="",G82&lt;TODAY())</formula>
    </cfRule>
    <cfRule type="expression" dxfId="246" priority="127">
      <formula>AND(G82&lt;&gt;"",H82="",G82&gt;=TODAY(),G82&lt;=TODAY()+14)</formula>
    </cfRule>
    <cfRule type="expression" dxfId="245" priority="128">
      <formula>G82=""</formula>
    </cfRule>
  </conditionalFormatting>
  <conditionalFormatting sqref="G92 I92 K92">
    <cfRule type="expression" dxfId="244" priority="69">
      <formula>AND(G92&lt;&gt;"",H92&lt;&gt;"",H92&lt;=G92)</formula>
    </cfRule>
    <cfRule type="expression" dxfId="243" priority="70">
      <formula>AND(G92&lt;&gt;"",H92&lt;&gt;"",H92&gt;G92)</formula>
    </cfRule>
    <cfRule type="expression" dxfId="242" priority="71">
      <formula>AND(G92&lt;&gt;"",H92="",G92&lt;TODAY())</formula>
    </cfRule>
    <cfRule type="expression" dxfId="241" priority="72">
      <formula>AND(G92&lt;&gt;"",H92="",G92&gt;=TODAY(),G92&lt;=TODAY()+14)</formula>
    </cfRule>
    <cfRule type="expression" dxfId="240" priority="73">
      <formula>G92=""</formula>
    </cfRule>
  </conditionalFormatting>
  <conditionalFormatting sqref="G94:G95 I94:I95 K94:K95">
    <cfRule type="expression" dxfId="239" priority="48">
      <formula>AND(G94&lt;&gt;"",H94&lt;&gt;"",H94&lt;=G94)</formula>
    </cfRule>
    <cfRule type="expression" dxfId="238" priority="49">
      <formula>AND(G94&lt;&gt;"",H94&lt;&gt;"",H94&gt;G94)</formula>
    </cfRule>
    <cfRule type="expression" dxfId="237" priority="50">
      <formula>AND(G94&lt;&gt;"",H94="",G94&lt;TODAY())</formula>
    </cfRule>
    <cfRule type="expression" dxfId="236" priority="51">
      <formula>AND(G94&lt;&gt;"",H94="",G94&gt;=TODAY(),G94&lt;=TODAY()+14)</formula>
    </cfRule>
    <cfRule type="expression" dxfId="235" priority="52">
      <formula>G94=""</formula>
    </cfRule>
  </conditionalFormatting>
  <conditionalFormatting sqref="K31:K35">
    <cfRule type="expression" dxfId="234" priority="1">
      <formula>AND(K31&lt;&gt;"",L31&lt;&gt;"",L31&lt;=K31)</formula>
    </cfRule>
    <cfRule type="expression" dxfId="233" priority="2">
      <formula>AND(K31&lt;&gt;"",L31&lt;&gt;"",L31&gt;K31)</formula>
    </cfRule>
    <cfRule type="expression" dxfId="232" priority="3">
      <formula>AND(K31&lt;&gt;"",L31="",K31&lt;TODAY())</formula>
    </cfRule>
    <cfRule type="expression" dxfId="231" priority="4">
      <formula>AND(K31&lt;&gt;"",L31="",K31&gt;=TODAY(),K31&lt;=TODAY()+14)</formula>
    </cfRule>
    <cfRule type="expression" dxfId="230" priority="5">
      <formula>K31=""</formula>
    </cfRule>
  </conditionalFormatting>
  <conditionalFormatting sqref="M7:M10 M23:M26 M28 M31:M34 M36:M53 M57 M59:M60 M71:M74 M76 M78:M80 M85:M86">
    <cfRule type="cellIs" dxfId="229" priority="142" operator="equal">
      <formula>"Complete"</formula>
    </cfRule>
    <cfRule type="cellIs" dxfId="228" priority="143" operator="equal">
      <formula>"On Track"</formula>
    </cfRule>
    <cfRule type="cellIs" dxfId="227" priority="144" operator="equal">
      <formula>"Can Catch Up"</formula>
    </cfRule>
    <cfRule type="cellIs" dxfId="226" priority="145" operator="equal">
      <formula>"At Risk"</formula>
    </cfRule>
    <cfRule type="cellIs" dxfId="225" priority="146" operator="equal">
      <formula>"Blocked"</formula>
    </cfRule>
    <cfRule type="cellIs" dxfId="224" priority="147" operator="equal">
      <formula>"Not Started"</formula>
    </cfRule>
    <cfRule type="cellIs" dxfId="223" priority="148" operator="equal">
      <formula>"Stretch"</formula>
    </cfRule>
    <cfRule type="cellIs" dxfId="222" priority="149" operator="equal">
      <formula>"N/A"</formula>
    </cfRule>
  </conditionalFormatting>
  <conditionalFormatting sqref="M13:M19">
    <cfRule type="cellIs" dxfId="221" priority="6" operator="equal">
      <formula>"Complete"</formula>
    </cfRule>
    <cfRule type="cellIs" dxfId="220" priority="7" operator="equal">
      <formula>"On Track"</formula>
    </cfRule>
    <cfRule type="cellIs" dxfId="219" priority="8" operator="equal">
      <formula>"Can Catch Up"</formula>
    </cfRule>
    <cfRule type="cellIs" dxfId="218" priority="9" operator="equal">
      <formula>"At Risk"</formula>
    </cfRule>
    <cfRule type="cellIs" dxfId="217" priority="10" operator="equal">
      <formula>"Blocked"</formula>
    </cfRule>
    <cfRule type="cellIs" dxfId="216" priority="11" operator="equal">
      <formula>"Not Started"</formula>
    </cfRule>
    <cfRule type="cellIs" dxfId="215" priority="12" operator="equal">
      <formula>"Stretch"</formula>
    </cfRule>
    <cfRule type="cellIs" dxfId="214" priority="13" operator="equal">
      <formula>"N/A"</formula>
    </cfRule>
  </conditionalFormatting>
  <conditionalFormatting sqref="M62:M67">
    <cfRule type="cellIs" dxfId="213" priority="95" operator="equal">
      <formula>"Complete"</formula>
    </cfRule>
    <cfRule type="cellIs" dxfId="212" priority="96" operator="equal">
      <formula>"On Track"</formula>
    </cfRule>
    <cfRule type="cellIs" dxfId="211" priority="97" operator="equal">
      <formula>"Can Catch Up"</formula>
    </cfRule>
    <cfRule type="cellIs" dxfId="210" priority="98" operator="equal">
      <formula>"At Risk"</formula>
    </cfRule>
    <cfRule type="cellIs" dxfId="209" priority="99" operator="equal">
      <formula>"Blocked"</formula>
    </cfRule>
    <cfRule type="cellIs" dxfId="208" priority="100" operator="equal">
      <formula>"Not Started"</formula>
    </cfRule>
    <cfRule type="cellIs" dxfId="207" priority="101" operator="equal">
      <formula>"Stretch"</formula>
    </cfRule>
    <cfRule type="cellIs" dxfId="206" priority="102" operator="equal">
      <formula>"N/A"</formula>
    </cfRule>
  </conditionalFormatting>
  <conditionalFormatting sqref="M82">
    <cfRule type="cellIs" dxfId="205" priority="116" operator="equal">
      <formula>"Complete"</formula>
    </cfRule>
    <cfRule type="cellIs" dxfId="204" priority="117" operator="equal">
      <formula>"On Track"</formula>
    </cfRule>
    <cfRule type="cellIs" dxfId="203" priority="118" operator="equal">
      <formula>"Can Catch Up"</formula>
    </cfRule>
    <cfRule type="cellIs" dxfId="202" priority="119" operator="equal">
      <formula>"At Risk"</formula>
    </cfRule>
    <cfRule type="cellIs" dxfId="201" priority="120" operator="equal">
      <formula>"Blocked"</formula>
    </cfRule>
    <cfRule type="cellIs" dxfId="200" priority="121" operator="equal">
      <formula>"Not Started"</formula>
    </cfRule>
    <cfRule type="cellIs" dxfId="199" priority="122" operator="equal">
      <formula>"Stretch"</formula>
    </cfRule>
    <cfRule type="cellIs" dxfId="198" priority="123" operator="equal">
      <formula>"N/A"</formula>
    </cfRule>
  </conditionalFormatting>
  <conditionalFormatting sqref="M91:M97">
    <cfRule type="cellIs" dxfId="197" priority="40" operator="equal">
      <formula>"Complete"</formula>
    </cfRule>
    <cfRule type="cellIs" dxfId="196" priority="41" operator="equal">
      <formula>"On Track"</formula>
    </cfRule>
    <cfRule type="cellIs" dxfId="195" priority="42" operator="equal">
      <formula>"Can Catch Up"</formula>
    </cfRule>
    <cfRule type="cellIs" dxfId="194" priority="43" operator="equal">
      <formula>"At Risk"</formula>
    </cfRule>
    <cfRule type="cellIs" dxfId="193" priority="44" operator="equal">
      <formula>"Blocked"</formula>
    </cfRule>
    <cfRule type="cellIs" dxfId="192" priority="45" operator="equal">
      <formula>"Not Started"</formula>
    </cfRule>
    <cfRule type="cellIs" dxfId="191" priority="46" operator="equal">
      <formula>"Stretch"</formula>
    </cfRule>
    <cfRule type="cellIs" dxfId="190" priority="47" operator="equal">
      <formula>"N/A"</formula>
    </cfRule>
  </conditionalFormatting>
  <dataValidations count="1">
    <dataValidation type="list" errorStyle="warning" allowBlank="1" sqref="M70:M74 M8:M10 M57 M85:M86 M76 M59:M60 M23:M26 M82 M62:M67 M91:M97 M31:M53 M13:M18 M28 M78:M80" xr:uid="{3E6BEB7E-DEA7-4C4E-A52B-2E28E0F70863}">
      <formula1>"Complete,On Track,Can Catch Up,At Risk,Blocked,Not Started,Stretch,N/A"</formula1>
    </dataValidation>
  </dataValidations>
  <hyperlinks>
    <hyperlink ref="O8" r:id="rId1" xr:uid="{0BD21037-2E45-A24D-8CD8-4E71662137E4}"/>
    <hyperlink ref="P8" r:id="rId2" xr:uid="{E0EFE5EB-7BA4-1446-99E0-2D643E7280FF}"/>
    <hyperlink ref="O57" r:id="rId3" display="https://nvbugspro.nvidia.com/bug/6441538" xr:uid="{176D820C-49E3-3D47-8C0E-AE495C44473B}"/>
    <hyperlink ref="P57" r:id="rId4" xr:uid="{8DD5D819-B418-054A-869C-4B68C51EDDC1}"/>
    <hyperlink ref="O10" r:id="rId5" xr:uid="{A713450C-AB3D-EC4C-9677-85621052937F}"/>
    <hyperlink ref="P10" r:id="rId6" xr:uid="{4D934E28-6C64-4D41-ABDE-8A48055B5B43}"/>
    <hyperlink ref="O32" r:id="rId7" xr:uid="{494367F2-70B3-4D89-8367-2160BD4ED014}"/>
    <hyperlink ref="Q52" r:id="rId8" xr:uid="{C59C4DD3-2195-46FA-9D1A-A6EB0859B453}"/>
    <hyperlink ref="Q48" r:id="rId9" xr:uid="{95F746C1-73DF-4149-8D12-9B3EF5A48654}"/>
    <hyperlink ref="Q51" r:id="rId10" xr:uid="{3A31BCC1-525C-4EB5-8D3F-E27477B55A24}"/>
    <hyperlink ref="Q47" r:id="rId11" xr:uid="{6CAA0B7C-D675-416B-8C99-EC163344DD8D}"/>
    <hyperlink ref="O52" r:id="rId12" xr:uid="{DCC2E95A-64B6-4574-A9A9-B52D9FC11215}"/>
    <hyperlink ref="O49" r:id="rId13" xr:uid="{E67EDD81-5C87-45FF-AFD6-7462AF069D5B}"/>
    <hyperlink ref="P48" r:id="rId14" xr:uid="{1AA23B7A-8ECB-4D16-92C2-A150E351FD7B}"/>
    <hyperlink ref="P52" r:id="rId15" xr:uid="{9C3B2295-0316-43C3-BB82-22E5982EF577}"/>
    <hyperlink ref="P34" r:id="rId16" xr:uid="{C928127F-526C-4E69-A7A7-F038670AD89D}"/>
    <hyperlink ref="P32" r:id="rId17" xr:uid="{14DE6EE8-842C-4617-ACF6-210A9C099911}"/>
    <hyperlink ref="O34" r:id="rId18" xr:uid="{441CB988-48A1-4059-89CF-9E8D14E51DBE}"/>
    <hyperlink ref="P37" r:id="rId19" xr:uid="{8C4D573B-E8AB-4EDF-8D61-10D860AA63F5}"/>
    <hyperlink ref="P7" r:id="rId20" xr:uid="{90C27F43-3072-4235-9493-0761BAC5B8C9}"/>
    <hyperlink ref="O41" r:id="rId21" xr:uid="{DB7F8A4C-170A-4525-A724-BA679021B3ED}"/>
    <hyperlink ref="O43" r:id="rId22" xr:uid="{CB21BD3A-4AD2-48AA-8C81-79D16B05D091}"/>
    <hyperlink ref="P43" r:id="rId23" xr:uid="{6FD2A8FD-FEE4-49B5-AEC0-4B9D2220900D}"/>
    <hyperlink ref="P41" r:id="rId24" xr:uid="{F69A6390-0265-46CB-BFF0-4BA3E991B5AD}"/>
    <hyperlink ref="O16" r:id="rId25" xr:uid="{BB791A26-4EAF-7048-B3F3-1421BDC9D8E7}"/>
    <hyperlink ref="P16" r:id="rId26" xr:uid="{C1229E78-3F5B-0548-B2C5-5674BB5D2FE4}"/>
    <hyperlink ref="Q16" r:id="rId27" display="https://nvbugspro.nvidia.com/bug/6649311" xr:uid="{22D322B2-1DB7-0B4A-956D-FA545C8A4559}"/>
    <hyperlink ref="O59" r:id="rId28" xr:uid="{098C2A04-D3A2-2B43-A568-0D681E0A48CD}"/>
    <hyperlink ref="P59" r:id="rId29" xr:uid="{2D6CD7FD-3EEB-954D-9E87-317293B0A386}"/>
    <hyperlink ref="Q59" r:id="rId30" display="https://nvbugspro.nvidia.com/bug/6649311" xr:uid="{49665FF2-189A-CF42-815F-206A15F1FFFA}"/>
    <hyperlink ref="O60" r:id="rId31" xr:uid="{963CEA69-606A-264C-ADB6-E667C56B2834}"/>
    <hyperlink ref="P60" r:id="rId32" xr:uid="{0A49C4C8-DCC1-1C4E-80BF-A08B9F7391AC}"/>
    <hyperlink ref="Q60" r:id="rId33" display="https://nvbugspro.nvidia.com/bug/6649311" xr:uid="{FEDD430C-9C32-6749-B479-9D7CB8E93E20}"/>
    <hyperlink ref="O14" r:id="rId34" display="https://nvbugspro.nvidia.com/bug/6441538" xr:uid="{EBA8C5CB-4054-5D45-A503-AD94A2A53E8C}"/>
    <hyperlink ref="P14" r:id="rId35" xr:uid="{553E3F1A-9C05-584B-A285-A4C42900FB2A}"/>
    <hyperlink ref="Q97" r:id="rId36" xr:uid="{C889C1D7-23C8-5D4D-9FA1-E474A0F317AF}"/>
    <hyperlink ref="Q86" r:id="rId37" xr:uid="{9C8ABF34-4935-8E41-96C5-4238D7332E7A}"/>
    <hyperlink ref="Q92" r:id="rId38" xr:uid="{6DE917E7-D21E-7B4E-AF67-17A14DAC7A5D}"/>
    <hyperlink ref="Q94" r:id="rId39" xr:uid="{E4A4D664-14E0-6B42-A886-50B5199C5F8B}"/>
    <hyperlink ref="Q95" r:id="rId40" xr:uid="{BF9B7B97-0A46-044F-9D5A-A1C51F290DA8}"/>
    <hyperlink ref="O15" r:id="rId41" display="https://nvbugspro.nvidia.com/bug/6441538" xr:uid="{7C8E616B-AEFE-3D43-9CDF-BCEA737C0244}"/>
    <hyperlink ref="P15" r:id="rId42" xr:uid="{13CBA665-91CB-B746-AC0D-03274C2130BB}"/>
    <hyperlink ref="O37" r:id="rId43" xr:uid="{47E8990C-78D9-4D0B-96C6-7B9F6DD3A606}"/>
    <hyperlink ref="Q37" r:id="rId44" xr:uid="{E3111CF9-37BA-421A-8138-8329FEDF7BDC}"/>
    <hyperlink ref="Q10" r:id="rId45" xr:uid="{E4F797F1-2182-4997-8DCD-A563E77BB462}"/>
    <hyperlink ref="O23" r:id="rId46" xr:uid="{4092B82D-E12D-D14B-A924-8F0D30201D5A}"/>
    <hyperlink ref="P23" r:id="rId47" xr:uid="{AA687248-9227-044D-9EAA-A2F31AF6D43C}"/>
    <hyperlink ref="O18" r:id="rId48" xr:uid="{AB93B6B3-1EFB-8941-9B41-32FD26468783}"/>
    <hyperlink ref="P18" r:id="rId49" xr:uid="{1E42C89E-8617-CE43-B1CF-2153A44B448A}"/>
  </hyperlinks>
  <pageMargins left="0.75" right="0.75" top="1" bottom="1" header="0.5" footer="0.5"/>
  <pageSetup scale="18" orientation="landscape"/>
  <legacyDrawing r:id="rId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CC3C9-C458-4A4C-8D7E-592A238698F3}">
  <dimension ref="A1:F20"/>
  <sheetViews>
    <sheetView workbookViewId="0"/>
  </sheetViews>
  <sheetFormatPr baseColWidth="10" defaultRowHeight="13" x14ac:dyDescent="0.15"/>
  <cols>
    <col min="1" max="1" width="54" customWidth="1"/>
    <col min="2" max="2" width="26.5" customWidth="1"/>
    <col min="3" max="3" width="16" customWidth="1"/>
    <col min="5" max="5" width="30.83203125" customWidth="1"/>
  </cols>
  <sheetData>
    <row r="1" spans="1:6" x14ac:dyDescent="0.15">
      <c r="A1" s="225" t="s">
        <v>1252</v>
      </c>
      <c r="B1" s="225" t="s">
        <v>620</v>
      </c>
      <c r="C1" s="225" t="s">
        <v>14</v>
      </c>
      <c r="D1" s="225" t="s">
        <v>11</v>
      </c>
      <c r="E1" s="225" t="s">
        <v>622</v>
      </c>
      <c r="F1" s="225" t="s">
        <v>1253</v>
      </c>
    </row>
    <row r="2" spans="1:6" x14ac:dyDescent="0.15">
      <c r="A2" t="s">
        <v>1244</v>
      </c>
      <c r="B2" t="s">
        <v>1261</v>
      </c>
      <c r="C2" t="s">
        <v>1254</v>
      </c>
    </row>
    <row r="3" spans="1:6" x14ac:dyDescent="0.15">
      <c r="A3" t="s">
        <v>1266</v>
      </c>
      <c r="B3" t="s">
        <v>1261</v>
      </c>
      <c r="C3" t="s">
        <v>1254</v>
      </c>
    </row>
    <row r="4" spans="1:6" x14ac:dyDescent="0.15">
      <c r="A4" t="s">
        <v>1265</v>
      </c>
      <c r="B4" t="s">
        <v>1261</v>
      </c>
      <c r="C4" t="s">
        <v>1254</v>
      </c>
    </row>
    <row r="5" spans="1:6" x14ac:dyDescent="0.15">
      <c r="A5" t="s">
        <v>1245</v>
      </c>
      <c r="B5" t="s">
        <v>1261</v>
      </c>
      <c r="C5" t="s">
        <v>1254</v>
      </c>
    </row>
    <row r="6" spans="1:6" x14ac:dyDescent="0.15">
      <c r="A6" t="s">
        <v>1246</v>
      </c>
      <c r="B6" t="s">
        <v>1261</v>
      </c>
      <c r="C6" t="s">
        <v>1254</v>
      </c>
    </row>
    <row r="7" spans="1:6" x14ac:dyDescent="0.15">
      <c r="A7" t="s">
        <v>1247</v>
      </c>
      <c r="B7" t="s">
        <v>1261</v>
      </c>
      <c r="C7" t="s">
        <v>1254</v>
      </c>
    </row>
    <row r="8" spans="1:6" x14ac:dyDescent="0.15">
      <c r="A8" t="s">
        <v>1262</v>
      </c>
      <c r="B8" t="s">
        <v>1261</v>
      </c>
      <c r="C8" t="s">
        <v>1254</v>
      </c>
    </row>
    <row r="9" spans="1:6" x14ac:dyDescent="0.15">
      <c r="A9" t="s">
        <v>1263</v>
      </c>
      <c r="B9" t="s">
        <v>1261</v>
      </c>
      <c r="C9" t="s">
        <v>1254</v>
      </c>
    </row>
    <row r="10" spans="1:6" x14ac:dyDescent="0.15">
      <c r="A10" t="s">
        <v>1248</v>
      </c>
      <c r="B10" t="s">
        <v>1261</v>
      </c>
      <c r="C10" t="s">
        <v>1254</v>
      </c>
    </row>
    <row r="11" spans="1:6" x14ac:dyDescent="0.15">
      <c r="A11" t="s">
        <v>1249</v>
      </c>
      <c r="B11" t="s">
        <v>1261</v>
      </c>
      <c r="C11" t="s">
        <v>1254</v>
      </c>
    </row>
    <row r="13" spans="1:6" x14ac:dyDescent="0.15">
      <c r="A13" t="s">
        <v>1250</v>
      </c>
      <c r="B13" t="s">
        <v>1257</v>
      </c>
      <c r="C13" t="s">
        <v>836</v>
      </c>
      <c r="E13" t="s">
        <v>1260</v>
      </c>
    </row>
    <row r="14" spans="1:6" x14ac:dyDescent="0.15">
      <c r="A14" t="s">
        <v>1251</v>
      </c>
      <c r="B14" t="s">
        <v>1257</v>
      </c>
      <c r="C14" t="s">
        <v>836</v>
      </c>
      <c r="E14" t="s">
        <v>1260</v>
      </c>
    </row>
    <row r="15" spans="1:6" x14ac:dyDescent="0.15">
      <c r="A15" t="s">
        <v>1272</v>
      </c>
    </row>
    <row r="16" spans="1:6" ht="15" x14ac:dyDescent="0.2">
      <c r="A16" t="s">
        <v>1264</v>
      </c>
      <c r="B16" s="164" t="s">
        <v>1256</v>
      </c>
      <c r="C16" t="s">
        <v>836</v>
      </c>
      <c r="E16" t="s">
        <v>1259</v>
      </c>
    </row>
    <row r="17" spans="1:5" x14ac:dyDescent="0.15">
      <c r="A17" t="s">
        <v>1243</v>
      </c>
      <c r="B17" t="s">
        <v>1255</v>
      </c>
      <c r="C17" t="s">
        <v>210</v>
      </c>
      <c r="E17" t="s">
        <v>1258</v>
      </c>
    </row>
    <row r="18" spans="1:5" x14ac:dyDescent="0.15">
      <c r="A18" t="s">
        <v>1277</v>
      </c>
      <c r="B18" t="s">
        <v>1276</v>
      </c>
      <c r="C18" t="s">
        <v>210</v>
      </c>
      <c r="E18" t="s">
        <v>1281</v>
      </c>
    </row>
    <row r="19" spans="1:5" x14ac:dyDescent="0.15">
      <c r="A19" t="s">
        <v>1279</v>
      </c>
      <c r="B19" t="s">
        <v>1278</v>
      </c>
      <c r="C19" t="s">
        <v>210</v>
      </c>
      <c r="E19" t="s">
        <v>1258</v>
      </c>
    </row>
    <row r="20" spans="1:5" x14ac:dyDescent="0.15">
      <c r="A20" t="s">
        <v>1280</v>
      </c>
      <c r="B20" t="s">
        <v>1278</v>
      </c>
      <c r="C20" t="s">
        <v>210</v>
      </c>
      <c r="E20" t="s">
        <v>1258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8AC97-5C21-A84A-93D8-B828626FC607}">
  <sheetPr>
    <tabColor rgb="FF4B5563"/>
  </sheetPr>
  <dimension ref="A1:J21"/>
  <sheetViews>
    <sheetView workbookViewId="0">
      <selection activeCell="E4" sqref="E4"/>
    </sheetView>
  </sheetViews>
  <sheetFormatPr baseColWidth="10" defaultColWidth="10.83203125" defaultRowHeight="13" x14ac:dyDescent="0.15"/>
  <cols>
    <col min="1" max="1" width="56.6640625" style="55" customWidth="1"/>
    <col min="2" max="2" width="40.33203125" style="55" customWidth="1"/>
    <col min="3" max="3" width="60.5" style="55" customWidth="1"/>
    <col min="4" max="4" width="77.6640625" style="55" customWidth="1"/>
    <col min="5" max="5" width="38.33203125" style="55" customWidth="1"/>
    <col min="6" max="6" width="41" style="55" customWidth="1"/>
    <col min="7" max="7" width="32.1640625" style="55" customWidth="1"/>
    <col min="8" max="8" width="15.1640625" style="55" customWidth="1"/>
    <col min="9" max="16384" width="10.83203125" style="55"/>
  </cols>
  <sheetData>
    <row r="1" spans="1:10" x14ac:dyDescent="0.15">
      <c r="A1" s="141" t="s">
        <v>242</v>
      </c>
      <c r="B1" s="141"/>
      <c r="C1" s="141" t="s">
        <v>243</v>
      </c>
      <c r="D1" s="142" t="s">
        <v>244</v>
      </c>
      <c r="E1" s="141" t="s">
        <v>245</v>
      </c>
      <c r="F1" s="141" t="s">
        <v>246</v>
      </c>
      <c r="G1" s="142" t="s">
        <v>247</v>
      </c>
      <c r="H1" s="142" t="s">
        <v>248</v>
      </c>
    </row>
    <row r="2" spans="1:10" x14ac:dyDescent="0.15">
      <c r="A2" s="46" t="s">
        <v>249</v>
      </c>
      <c r="B2" s="43" t="s">
        <v>250</v>
      </c>
      <c r="C2" s="49" t="s">
        <v>251</v>
      </c>
      <c r="E2" s="49" t="s">
        <v>35</v>
      </c>
      <c r="F2" s="49"/>
      <c r="G2" s="55" t="s">
        <v>252</v>
      </c>
    </row>
    <row r="3" spans="1:10" x14ac:dyDescent="0.15">
      <c r="A3" s="46" t="s">
        <v>253</v>
      </c>
      <c r="B3" s="43" t="s">
        <v>250</v>
      </c>
      <c r="C3" s="49" t="s">
        <v>47</v>
      </c>
      <c r="E3" s="49" t="s">
        <v>46</v>
      </c>
      <c r="F3" s="49"/>
      <c r="G3" s="55" t="s">
        <v>254</v>
      </c>
    </row>
    <row r="4" spans="1:10" x14ac:dyDescent="0.15">
      <c r="A4" s="46" t="s">
        <v>255</v>
      </c>
      <c r="B4" s="55" t="s">
        <v>256</v>
      </c>
      <c r="C4" s="49" t="s">
        <v>36</v>
      </c>
      <c r="E4" s="49"/>
      <c r="G4" s="55" t="s">
        <v>257</v>
      </c>
    </row>
    <row r="6" spans="1:10" x14ac:dyDescent="0.15">
      <c r="A6" s="46" t="s">
        <v>258</v>
      </c>
      <c r="B6" s="43" t="s">
        <v>250</v>
      </c>
      <c r="C6" s="49" t="s">
        <v>120</v>
      </c>
      <c r="D6" s="55" t="s">
        <v>259</v>
      </c>
    </row>
    <row r="7" spans="1:10" x14ac:dyDescent="0.15">
      <c r="A7" s="46" t="s">
        <v>260</v>
      </c>
      <c r="B7" s="43" t="s">
        <v>250</v>
      </c>
      <c r="C7" s="49" t="s">
        <v>113</v>
      </c>
      <c r="D7" s="55" t="s">
        <v>261</v>
      </c>
      <c r="E7" s="49" t="s">
        <v>112</v>
      </c>
      <c r="F7" s="49" t="s">
        <v>262</v>
      </c>
    </row>
    <row r="8" spans="1:10" x14ac:dyDescent="0.15">
      <c r="A8" s="46"/>
    </row>
    <row r="9" spans="1:10" x14ac:dyDescent="0.15">
      <c r="A9" s="46" t="s">
        <v>263</v>
      </c>
      <c r="B9" s="43" t="s">
        <v>250</v>
      </c>
      <c r="C9" s="49" t="s">
        <v>147</v>
      </c>
      <c r="D9" s="55" t="s">
        <v>264</v>
      </c>
      <c r="E9" s="49" t="s">
        <v>146</v>
      </c>
      <c r="F9" s="49" t="s">
        <v>265</v>
      </c>
      <c r="G9" s="55" t="s">
        <v>266</v>
      </c>
    </row>
    <row r="10" spans="1:10" x14ac:dyDescent="0.15">
      <c r="A10" s="46" t="s">
        <v>267</v>
      </c>
      <c r="B10" s="43" t="s">
        <v>250</v>
      </c>
      <c r="C10" s="49" t="s">
        <v>138</v>
      </c>
      <c r="D10" s="55" t="s">
        <v>264</v>
      </c>
      <c r="E10" s="49" t="s">
        <v>137</v>
      </c>
      <c r="F10" s="49" t="s">
        <v>268</v>
      </c>
      <c r="G10" s="55" t="s">
        <v>269</v>
      </c>
    </row>
    <row r="11" spans="1:10" x14ac:dyDescent="0.15">
      <c r="A11" s="46"/>
    </row>
    <row r="12" spans="1:10" x14ac:dyDescent="0.15">
      <c r="A12" s="46" t="s">
        <v>270</v>
      </c>
      <c r="B12" s="43" t="s">
        <v>250</v>
      </c>
      <c r="C12" s="49" t="s">
        <v>78</v>
      </c>
      <c r="D12" s="55" t="s">
        <v>271</v>
      </c>
      <c r="E12" s="49" t="s">
        <v>77</v>
      </c>
      <c r="F12" s="49"/>
      <c r="G12" s="55" t="s">
        <v>272</v>
      </c>
      <c r="I12" t="s">
        <v>273</v>
      </c>
      <c r="J12"/>
    </row>
    <row r="13" spans="1:10" x14ac:dyDescent="0.15">
      <c r="A13" s="143" t="s">
        <v>274</v>
      </c>
      <c r="B13" s="43" t="s">
        <v>250</v>
      </c>
      <c r="C13" s="49" t="s">
        <v>275</v>
      </c>
      <c r="D13" s="55" t="s">
        <v>276</v>
      </c>
      <c r="E13" s="49" t="s">
        <v>277</v>
      </c>
      <c r="G13" s="55" t="s">
        <v>272</v>
      </c>
    </row>
    <row r="14" spans="1:10" x14ac:dyDescent="0.15">
      <c r="A14" s="46"/>
      <c r="I14" s="55" t="s">
        <v>278</v>
      </c>
    </row>
    <row r="15" spans="1:10" x14ac:dyDescent="0.15">
      <c r="A15" s="46" t="s">
        <v>279</v>
      </c>
      <c r="B15" s="55" t="s">
        <v>280</v>
      </c>
    </row>
    <row r="16" spans="1:10" x14ac:dyDescent="0.15">
      <c r="A16" s="46" t="s">
        <v>281</v>
      </c>
      <c r="B16" s="55" t="s">
        <v>280</v>
      </c>
    </row>
    <row r="17" spans="1:7" x14ac:dyDescent="0.15">
      <c r="A17" s="46"/>
    </row>
    <row r="18" spans="1:7" x14ac:dyDescent="0.15">
      <c r="A18" s="46" t="s">
        <v>282</v>
      </c>
      <c r="B18" s="43" t="s">
        <v>283</v>
      </c>
      <c r="C18" s="49" t="s">
        <v>284</v>
      </c>
      <c r="D18" s="55" t="s">
        <v>285</v>
      </c>
      <c r="E18" s="49" t="s">
        <v>67</v>
      </c>
      <c r="F18" s="49"/>
      <c r="G18" s="55" t="s">
        <v>286</v>
      </c>
    </row>
    <row r="19" spans="1:7" x14ac:dyDescent="0.15">
      <c r="A19" s="46" t="s">
        <v>287</v>
      </c>
      <c r="B19" s="43" t="s">
        <v>250</v>
      </c>
      <c r="C19" s="49" t="s">
        <v>57</v>
      </c>
      <c r="D19" s="55" t="s">
        <v>288</v>
      </c>
      <c r="E19" s="49" t="s">
        <v>86</v>
      </c>
      <c r="F19" s="49"/>
      <c r="G19" s="55" t="s">
        <v>289</v>
      </c>
    </row>
    <row r="21" spans="1:7" x14ac:dyDescent="0.15">
      <c r="A21" s="46" t="s">
        <v>290</v>
      </c>
      <c r="B21" s="43" t="s">
        <v>245</v>
      </c>
    </row>
  </sheetData>
  <autoFilter ref="A23" xr:uid="{D718AC97-5C21-A84A-93D8-B828626FC607}"/>
  <hyperlinks>
    <hyperlink ref="E7" r:id="rId1" xr:uid="{F30D7168-9535-4CDB-8EB4-687493DDFF16}"/>
    <hyperlink ref="E2" r:id="rId2" xr:uid="{3258E349-635D-47CB-930F-4C2A20E9D6B6}"/>
    <hyperlink ref="E12" r:id="rId3" xr:uid="{8F697745-9E21-4A07-A67A-F6F762073F9D}"/>
    <hyperlink ref="E3" r:id="rId4" xr:uid="{36F84EB2-DE65-42C7-BE41-6A594598E065}"/>
    <hyperlink ref="C7" r:id="rId5" xr:uid="{6F022C1F-506C-4048-990C-089A7A41EA4E}"/>
    <hyperlink ref="C9" r:id="rId6" xr:uid="{C43A5204-A909-4F1A-8421-2524E7E4E0FA}"/>
    <hyperlink ref="C10" r:id="rId7" xr:uid="{86FB6703-1229-4F8B-80AA-183EFD1AAC2D}"/>
    <hyperlink ref="E10" r:id="rId8" xr:uid="{FED980EA-027D-4FC0-AE14-B1E099A282F9}"/>
    <hyperlink ref="E9" r:id="rId9" xr:uid="{891E6235-1BD6-4BBD-B27A-F0F24353B068}"/>
    <hyperlink ref="E18" r:id="rId10" xr:uid="{F5BBA393-D78D-49DC-9F61-3360E414AAA4}"/>
    <hyperlink ref="E19" r:id="rId11" xr:uid="{7D305038-6128-448F-A495-8B353304012E}"/>
    <hyperlink ref="C18" r:id="rId12" xr:uid="{C82BDD60-7F78-48B0-8349-105BF7F6A2CD}"/>
    <hyperlink ref="C19" r:id="rId13" xr:uid="{D63B9E8C-2C8D-4290-8902-35F297815A02}"/>
    <hyperlink ref="C12" r:id="rId14" xr:uid="{43BC6030-5792-4F79-911E-5B1873CC696B}"/>
    <hyperlink ref="C2" r:id="rId15" xr:uid="{BA727701-1CC5-43CB-AE48-74D9BB11A029}"/>
    <hyperlink ref="C6" r:id="rId16" xr:uid="{B9C502CC-2516-4FE7-8F0E-CE1B58D42E52}"/>
    <hyperlink ref="C3" r:id="rId17" xr:uid="{22D8E156-F72A-4660-90A3-577A595CDDC0}"/>
    <hyperlink ref="C4" r:id="rId18" xr:uid="{F9A8394A-AF0F-48B0-A7E9-3CF7C0209212}"/>
    <hyperlink ref="F7" r:id="rId19" xr:uid="{7B110D9D-CAA1-45FB-9D59-B899683628B5}"/>
    <hyperlink ref="F10" r:id="rId20" xr:uid="{DF9AF93A-B8D6-4806-BFAB-1BECB6225248}"/>
    <hyperlink ref="E13" r:id="rId21" xr:uid="{DBB076A9-EF6E-4A54-B975-3DF96D7A101B}"/>
    <hyperlink ref="C13" r:id="rId22" xr:uid="{09CBB904-996F-41A2-A296-3A5FAA0124BC}"/>
    <hyperlink ref="F9" r:id="rId23" xr:uid="{F17297B2-944E-4C28-BA9C-BE9190F6A7BD}"/>
  </hyperlinks>
  <pageMargins left="0.75" right="0.75" top="1" bottom="1" header="0.5" footer="0.5"/>
  <pageSetup orientation="portrait" horizontalDpi="0" verticalDpi="0"/>
  <legacyDrawing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D8C30-DF84-E94E-9B35-8ABD80FB13EE}">
  <sheetPr>
    <tabColor rgb="FFC00000"/>
  </sheetPr>
  <dimension ref="A1:O125"/>
  <sheetViews>
    <sheetView tabSelected="1" topLeftCell="A64" zoomScale="123" zoomScaleNormal="123" workbookViewId="0">
      <selection activeCell="E72" sqref="E72"/>
    </sheetView>
  </sheetViews>
  <sheetFormatPr baseColWidth="10" defaultColWidth="0" defaultRowHeight="13" x14ac:dyDescent="0.15"/>
  <cols>
    <col min="1" max="1" width="4" customWidth="1"/>
    <col min="2" max="2" width="54" style="227" customWidth="1"/>
    <col min="3" max="3" width="15.1640625" customWidth="1"/>
    <col min="4" max="4" width="24.1640625" customWidth="1"/>
    <col min="5" max="5" width="46.6640625" customWidth="1"/>
    <col min="6" max="10" width="10.83203125" customWidth="1"/>
    <col min="11" max="11" width="15.6640625" customWidth="1"/>
    <col min="12" max="15" width="0" hidden="1" customWidth="1"/>
    <col min="16" max="16384" width="10.83203125" hidden="1"/>
  </cols>
  <sheetData>
    <row r="1" spans="2:7" s="235" customFormat="1" ht="30" x14ac:dyDescent="0.3">
      <c r="B1" s="234" t="s">
        <v>291</v>
      </c>
    </row>
    <row r="2" spans="2:7" s="235" customFormat="1" x14ac:dyDescent="0.15">
      <c r="B2" s="236" t="s">
        <v>292</v>
      </c>
    </row>
    <row r="4" spans="2:7" s="69" customFormat="1" x14ac:dyDescent="0.15">
      <c r="B4" s="229" t="s">
        <v>293</v>
      </c>
      <c r="C4" s="222" t="s">
        <v>294</v>
      </c>
    </row>
    <row r="5" spans="2:7" x14ac:dyDescent="0.15">
      <c r="B5" s="226" t="s">
        <v>295</v>
      </c>
      <c r="C5" s="223" t="s">
        <v>296</v>
      </c>
    </row>
    <row r="6" spans="2:7" x14ac:dyDescent="0.15">
      <c r="B6" s="226" t="s">
        <v>297</v>
      </c>
      <c r="C6" s="49" t="s">
        <v>298</v>
      </c>
    </row>
    <row r="9" spans="2:7" s="69" customFormat="1" x14ac:dyDescent="0.15">
      <c r="B9" s="229" t="s">
        <v>299</v>
      </c>
      <c r="C9" s="222" t="s">
        <v>300</v>
      </c>
      <c r="D9" s="222"/>
      <c r="E9" s="222"/>
      <c r="F9" s="222" t="s">
        <v>301</v>
      </c>
      <c r="G9" s="222" t="s">
        <v>294</v>
      </c>
    </row>
    <row r="10" spans="2:7" x14ac:dyDescent="0.15">
      <c r="B10" s="227" t="s">
        <v>302</v>
      </c>
      <c r="D10" s="49" t="s">
        <v>303</v>
      </c>
    </row>
    <row r="11" spans="2:7" x14ac:dyDescent="0.15">
      <c r="B11" s="227" t="s">
        <v>304</v>
      </c>
      <c r="D11" s="49" t="s">
        <v>305</v>
      </c>
    </row>
    <row r="12" spans="2:7" x14ac:dyDescent="0.15">
      <c r="D12" s="49"/>
    </row>
    <row r="13" spans="2:7" x14ac:dyDescent="0.15">
      <c r="B13" s="227" t="s">
        <v>306</v>
      </c>
    </row>
    <row r="14" spans="2:7" x14ac:dyDescent="0.15">
      <c r="B14" s="227" t="s">
        <v>307</v>
      </c>
      <c r="D14" s="49" t="s">
        <v>308</v>
      </c>
    </row>
    <row r="16" spans="2:7" x14ac:dyDescent="0.15">
      <c r="B16" s="227" t="s">
        <v>309</v>
      </c>
      <c r="C16" s="39" t="s">
        <v>310</v>
      </c>
      <c r="D16" s="49" t="s">
        <v>311</v>
      </c>
      <c r="F16" s="39" t="s">
        <v>312</v>
      </c>
    </row>
    <row r="17" spans="2:15" x14ac:dyDescent="0.15">
      <c r="B17" s="227" t="s">
        <v>313</v>
      </c>
      <c r="C17" s="39"/>
      <c r="F17" s="39"/>
      <c r="G17" s="49"/>
      <c r="I17" s="39" t="s">
        <v>314</v>
      </c>
    </row>
    <row r="18" spans="2:15" x14ac:dyDescent="0.15">
      <c r="B18" s="227" t="s">
        <v>315</v>
      </c>
    </row>
    <row r="19" spans="2:15" x14ac:dyDescent="0.15">
      <c r="B19" s="227" t="s">
        <v>316</v>
      </c>
    </row>
    <row r="20" spans="2:15" x14ac:dyDescent="0.15">
      <c r="B20" s="227" t="s">
        <v>317</v>
      </c>
    </row>
    <row r="22" spans="2:15" s="261" customFormat="1" x14ac:dyDescent="0.15">
      <c r="B22" s="258" t="s">
        <v>318</v>
      </c>
      <c r="C22" s="259"/>
      <c r="D22" s="260" t="s">
        <v>319</v>
      </c>
    </row>
    <row r="24" spans="2:15" x14ac:dyDescent="0.15">
      <c r="B24" s="230" t="s">
        <v>320</v>
      </c>
      <c r="C24" s="225"/>
      <c r="D24" s="225"/>
      <c r="E24" s="225"/>
      <c r="F24" s="225"/>
      <c r="G24" s="225"/>
      <c r="H24" s="225"/>
      <c r="I24" s="225"/>
      <c r="J24" s="225"/>
      <c r="K24" s="225"/>
      <c r="L24" s="225"/>
      <c r="M24" s="225"/>
      <c r="N24" s="225"/>
      <c r="O24" s="225"/>
    </row>
    <row r="25" spans="2:15" x14ac:dyDescent="0.15">
      <c r="B25" s="227" t="s">
        <v>321</v>
      </c>
      <c r="F25" s="39" t="s">
        <v>312</v>
      </c>
      <c r="G25" s="49" t="s">
        <v>322</v>
      </c>
    </row>
    <row r="28" spans="2:15" s="69" customFormat="1" x14ac:dyDescent="0.15">
      <c r="B28" s="229" t="s">
        <v>323</v>
      </c>
      <c r="C28" s="222" t="s">
        <v>324</v>
      </c>
      <c r="D28" s="222" t="s">
        <v>325</v>
      </c>
      <c r="E28" s="222" t="s">
        <v>326</v>
      </c>
      <c r="F28" s="222" t="s">
        <v>301</v>
      </c>
      <c r="G28" s="222" t="s">
        <v>294</v>
      </c>
    </row>
    <row r="29" spans="2:15" x14ac:dyDescent="0.15">
      <c r="B29" s="227" t="s">
        <v>327</v>
      </c>
      <c r="C29" s="39" t="s">
        <v>328</v>
      </c>
      <c r="D29" s="39" t="s">
        <v>329</v>
      </c>
      <c r="E29" s="39" t="s">
        <v>330</v>
      </c>
      <c r="F29" s="39" t="s">
        <v>331</v>
      </c>
      <c r="G29" s="49" t="s">
        <v>332</v>
      </c>
    </row>
    <row r="30" spans="2:15" x14ac:dyDescent="0.15">
      <c r="B30" s="227" t="s">
        <v>333</v>
      </c>
      <c r="C30" s="39" t="s">
        <v>334</v>
      </c>
      <c r="D30" s="39" t="s">
        <v>329</v>
      </c>
      <c r="E30" s="39" t="s">
        <v>335</v>
      </c>
      <c r="F30" s="39" t="s">
        <v>107</v>
      </c>
      <c r="G30" s="49" t="s">
        <v>336</v>
      </c>
    </row>
    <row r="31" spans="2:15" x14ac:dyDescent="0.15">
      <c r="B31" s="227" t="s">
        <v>337</v>
      </c>
      <c r="C31" s="39" t="s">
        <v>338</v>
      </c>
      <c r="D31" s="39" t="s">
        <v>339</v>
      </c>
      <c r="E31" s="39" t="s">
        <v>340</v>
      </c>
      <c r="F31" s="39" t="s">
        <v>107</v>
      </c>
      <c r="G31" s="49" t="s">
        <v>341</v>
      </c>
    </row>
    <row r="32" spans="2:15" x14ac:dyDescent="0.15">
      <c r="B32" s="227" t="s">
        <v>342</v>
      </c>
      <c r="C32" s="39" t="s">
        <v>343</v>
      </c>
      <c r="D32" s="39" t="s">
        <v>339</v>
      </c>
      <c r="E32" s="39" t="s">
        <v>344</v>
      </c>
      <c r="F32" s="39" t="s">
        <v>107</v>
      </c>
      <c r="G32" s="49" t="s">
        <v>345</v>
      </c>
    </row>
    <row r="33" spans="2:7" x14ac:dyDescent="0.15">
      <c r="C33" s="39"/>
      <c r="D33" s="39"/>
      <c r="E33" s="39"/>
      <c r="F33" s="39"/>
      <c r="G33" s="49"/>
    </row>
    <row r="34" spans="2:7" x14ac:dyDescent="0.15">
      <c r="B34" s="227" t="s">
        <v>346</v>
      </c>
      <c r="C34" s="39" t="s">
        <v>347</v>
      </c>
      <c r="D34" s="39" t="s">
        <v>348</v>
      </c>
      <c r="E34" s="39" t="s">
        <v>349</v>
      </c>
      <c r="F34" s="39" t="s">
        <v>107</v>
      </c>
      <c r="G34" s="49" t="s">
        <v>350</v>
      </c>
    </row>
    <row r="35" spans="2:7" x14ac:dyDescent="0.15">
      <c r="B35" s="227" t="s">
        <v>351</v>
      </c>
      <c r="C35" s="74" t="s">
        <v>352</v>
      </c>
      <c r="G35" s="49" t="s">
        <v>353</v>
      </c>
    </row>
    <row r="36" spans="2:7" x14ac:dyDescent="0.15">
      <c r="B36" s="227" t="s">
        <v>354</v>
      </c>
      <c r="C36" s="39" t="s">
        <v>355</v>
      </c>
      <c r="D36" s="39" t="s">
        <v>239</v>
      </c>
      <c r="E36" s="39" t="s">
        <v>356</v>
      </c>
      <c r="F36" s="39" t="s">
        <v>107</v>
      </c>
      <c r="G36" s="49" t="s">
        <v>357</v>
      </c>
    </row>
    <row r="37" spans="2:7" x14ac:dyDescent="0.15">
      <c r="B37" s="227" t="s">
        <v>358</v>
      </c>
      <c r="C37" s="39" t="s">
        <v>359</v>
      </c>
      <c r="D37" s="39" t="s">
        <v>1271</v>
      </c>
      <c r="E37" s="39"/>
      <c r="F37" s="39" t="s">
        <v>107</v>
      </c>
      <c r="G37" s="49" t="s">
        <v>360</v>
      </c>
    </row>
    <row r="38" spans="2:7" x14ac:dyDescent="0.15">
      <c r="C38" s="39"/>
      <c r="D38" s="39"/>
      <c r="E38" s="39"/>
      <c r="F38" s="39"/>
      <c r="G38" s="49"/>
    </row>
    <row r="39" spans="2:7" x14ac:dyDescent="0.15">
      <c r="B39" s="227" t="s">
        <v>361</v>
      </c>
      <c r="C39" s="39"/>
      <c r="D39" s="39"/>
      <c r="E39" s="39"/>
      <c r="F39" s="39"/>
      <c r="G39" s="49" t="s">
        <v>362</v>
      </c>
    </row>
    <row r="40" spans="2:7" x14ac:dyDescent="0.15">
      <c r="B40" s="227" t="s">
        <v>363</v>
      </c>
      <c r="G40" s="49" t="s">
        <v>364</v>
      </c>
    </row>
    <row r="41" spans="2:7" x14ac:dyDescent="0.15">
      <c r="G41" s="49"/>
    </row>
    <row r="42" spans="2:7" x14ac:dyDescent="0.15">
      <c r="B42" s="229" t="s">
        <v>1229</v>
      </c>
      <c r="C42" s="222" t="s">
        <v>324</v>
      </c>
      <c r="D42" s="222" t="s">
        <v>325</v>
      </c>
      <c r="E42" s="222" t="s">
        <v>326</v>
      </c>
      <c r="F42" s="222" t="s">
        <v>301</v>
      </c>
      <c r="G42" s="222" t="s">
        <v>294</v>
      </c>
    </row>
    <row r="43" spans="2:7" x14ac:dyDescent="0.15">
      <c r="B43" s="227" t="s">
        <v>1230</v>
      </c>
      <c r="C43" t="s">
        <v>1232</v>
      </c>
      <c r="D43" t="s">
        <v>900</v>
      </c>
      <c r="E43" t="s">
        <v>1233</v>
      </c>
      <c r="F43" t="s">
        <v>107</v>
      </c>
      <c r="G43" s="49" t="s">
        <v>1231</v>
      </c>
    </row>
    <row r="44" spans="2:7" x14ac:dyDescent="0.15">
      <c r="B44" s="227" t="s">
        <v>1234</v>
      </c>
      <c r="D44" t="s">
        <v>900</v>
      </c>
      <c r="F44" t="s">
        <v>107</v>
      </c>
      <c r="G44" s="49"/>
    </row>
    <row r="45" spans="2:7" x14ac:dyDescent="0.15">
      <c r="G45" s="49"/>
    </row>
    <row r="46" spans="2:7" s="69" customFormat="1" x14ac:dyDescent="0.15">
      <c r="B46" s="229" t="s">
        <v>365</v>
      </c>
      <c r="C46" s="68" t="s">
        <v>366</v>
      </c>
      <c r="F46" s="222" t="s">
        <v>301</v>
      </c>
      <c r="G46" s="222" t="s">
        <v>294</v>
      </c>
    </row>
    <row r="47" spans="2:7" x14ac:dyDescent="0.15">
      <c r="B47" s="227" t="s">
        <v>367</v>
      </c>
      <c r="C47" s="39" t="s">
        <v>368</v>
      </c>
      <c r="G47" s="49" t="s">
        <v>369</v>
      </c>
    </row>
    <row r="48" spans="2:7" x14ac:dyDescent="0.15">
      <c r="B48" s="227" t="s">
        <v>370</v>
      </c>
      <c r="C48" s="39" t="s">
        <v>371</v>
      </c>
      <c r="G48" s="49" t="s">
        <v>372</v>
      </c>
    </row>
    <row r="49" spans="2:7" x14ac:dyDescent="0.15">
      <c r="B49" s="227" t="s">
        <v>373</v>
      </c>
      <c r="G49" s="49" t="s">
        <v>374</v>
      </c>
    </row>
    <row r="50" spans="2:7" x14ac:dyDescent="0.15">
      <c r="G50" s="49"/>
    </row>
    <row r="51" spans="2:7" x14ac:dyDescent="0.15">
      <c r="B51" s="227" t="s">
        <v>375</v>
      </c>
      <c r="G51" s="49" t="s">
        <v>376</v>
      </c>
    </row>
    <row r="52" spans="2:7" x14ac:dyDescent="0.15">
      <c r="B52" s="227" t="s">
        <v>377</v>
      </c>
      <c r="G52" s="49" t="s">
        <v>378</v>
      </c>
    </row>
    <row r="53" spans="2:7" x14ac:dyDescent="0.15">
      <c r="B53" s="227" t="s">
        <v>379</v>
      </c>
      <c r="G53" s="49" t="s">
        <v>380</v>
      </c>
    </row>
    <row r="54" spans="2:7" x14ac:dyDescent="0.15">
      <c r="B54" s="227" t="s">
        <v>381</v>
      </c>
      <c r="G54" s="49" t="s">
        <v>382</v>
      </c>
    </row>
    <row r="55" spans="2:7" x14ac:dyDescent="0.15">
      <c r="G55" s="49"/>
    </row>
    <row r="57" spans="2:7" s="69" customFormat="1" x14ac:dyDescent="0.15">
      <c r="B57" s="229" t="s">
        <v>383</v>
      </c>
      <c r="F57" s="222" t="s">
        <v>301</v>
      </c>
      <c r="G57" s="222" t="s">
        <v>294</v>
      </c>
    </row>
    <row r="58" spans="2:7" x14ac:dyDescent="0.15">
      <c r="B58" s="227" t="s">
        <v>1268</v>
      </c>
      <c r="C58" s="49" t="s">
        <v>1267</v>
      </c>
    </row>
    <row r="59" spans="2:7" x14ac:dyDescent="0.15">
      <c r="B59" s="227" t="s">
        <v>384</v>
      </c>
      <c r="C59" s="227" t="s">
        <v>385</v>
      </c>
      <c r="G59" s="227" t="s">
        <v>386</v>
      </c>
    </row>
    <row r="60" spans="2:7" x14ac:dyDescent="0.15">
      <c r="B60" s="227" t="s">
        <v>387</v>
      </c>
      <c r="C60" s="49" t="s">
        <v>1269</v>
      </c>
      <c r="G60" t="s">
        <v>388</v>
      </c>
    </row>
    <row r="62" spans="2:7" x14ac:dyDescent="0.15">
      <c r="B62" s="227" t="s">
        <v>389</v>
      </c>
      <c r="C62" t="s">
        <v>390</v>
      </c>
      <c r="G62" s="49" t="s">
        <v>391</v>
      </c>
    </row>
    <row r="64" spans="2:7" x14ac:dyDescent="0.15">
      <c r="B64" s="227" t="s">
        <v>392</v>
      </c>
      <c r="C64" s="49" t="s">
        <v>1270</v>
      </c>
      <c r="G64" t="s">
        <v>393</v>
      </c>
    </row>
    <row r="66" spans="1:11" s="69" customFormat="1" x14ac:dyDescent="0.15">
      <c r="B66" s="229" t="s">
        <v>394</v>
      </c>
      <c r="F66" s="222" t="s">
        <v>301</v>
      </c>
      <c r="G66" s="222" t="s">
        <v>294</v>
      </c>
    </row>
    <row r="67" spans="1:11" x14ac:dyDescent="0.15">
      <c r="B67" s="227" t="s">
        <v>395</v>
      </c>
      <c r="F67" s="39" t="s">
        <v>107</v>
      </c>
      <c r="G67" s="49" t="s">
        <v>396</v>
      </c>
    </row>
    <row r="70" spans="1:11" s="69" customFormat="1" x14ac:dyDescent="0.15">
      <c r="B70" s="229" t="s">
        <v>397</v>
      </c>
      <c r="C70" s="68" t="s">
        <v>398</v>
      </c>
      <c r="D70" s="68" t="s">
        <v>399</v>
      </c>
      <c r="E70" s="68" t="s">
        <v>294</v>
      </c>
    </row>
    <row r="71" spans="1:11" s="69" customFormat="1" x14ac:dyDescent="0.15">
      <c r="A71"/>
      <c r="B71" s="230" t="s">
        <v>400</v>
      </c>
      <c r="C71" s="224"/>
      <c r="D71" s="224"/>
      <c r="E71" s="224"/>
      <c r="F71" s="225"/>
      <c r="G71" s="225"/>
      <c r="H71" s="225"/>
      <c r="I71" s="225"/>
      <c r="J71" s="225"/>
      <c r="K71" s="225"/>
    </row>
    <row r="72" spans="1:11" x14ac:dyDescent="0.15">
      <c r="B72" s="227" t="s">
        <v>401</v>
      </c>
      <c r="C72" s="39" t="s">
        <v>402</v>
      </c>
      <c r="D72" s="39" t="s">
        <v>331</v>
      </c>
      <c r="E72" s="49" t="s">
        <v>403</v>
      </c>
    </row>
    <row r="73" spans="1:11" x14ac:dyDescent="0.15">
      <c r="B73" s="227" t="s">
        <v>404</v>
      </c>
      <c r="C73" s="39" t="s">
        <v>89</v>
      </c>
      <c r="D73" s="39" t="s">
        <v>331</v>
      </c>
      <c r="E73" s="242" t="s">
        <v>405</v>
      </c>
    </row>
    <row r="74" spans="1:11" x14ac:dyDescent="0.15">
      <c r="C74" s="39"/>
      <c r="E74" s="231"/>
    </row>
    <row r="75" spans="1:11" x14ac:dyDescent="0.15">
      <c r="B75" s="227" t="s">
        <v>406</v>
      </c>
      <c r="C75" s="39" t="s">
        <v>402</v>
      </c>
      <c r="D75" s="39" t="s">
        <v>331</v>
      </c>
      <c r="E75" s="49" t="s">
        <v>407</v>
      </c>
    </row>
    <row r="76" spans="1:11" x14ac:dyDescent="0.15">
      <c r="B76" s="227" t="s">
        <v>406</v>
      </c>
      <c r="C76" s="39" t="s">
        <v>89</v>
      </c>
      <c r="D76" s="39" t="s">
        <v>331</v>
      </c>
      <c r="E76" s="242" t="s">
        <v>405</v>
      </c>
    </row>
    <row r="77" spans="1:11" x14ac:dyDescent="0.15">
      <c r="C77" s="39"/>
      <c r="E77" s="231"/>
    </row>
    <row r="78" spans="1:11" x14ac:dyDescent="0.15">
      <c r="B78" s="230" t="s">
        <v>408</v>
      </c>
      <c r="C78" s="225"/>
      <c r="D78" s="225"/>
      <c r="E78" s="225"/>
      <c r="F78" s="225"/>
      <c r="G78" s="225"/>
      <c r="H78" s="225"/>
      <c r="I78" s="225"/>
      <c r="J78" s="225"/>
      <c r="K78" s="225"/>
    </row>
    <row r="79" spans="1:11" x14ac:dyDescent="0.15">
      <c r="B79" s="227" t="s">
        <v>409</v>
      </c>
      <c r="C79" s="39" t="s">
        <v>410</v>
      </c>
      <c r="D79" s="39" t="s">
        <v>331</v>
      </c>
      <c r="E79" s="49" t="s">
        <v>411</v>
      </c>
    </row>
    <row r="80" spans="1:11" x14ac:dyDescent="0.15">
      <c r="B80" s="227" t="s">
        <v>412</v>
      </c>
      <c r="C80" s="39" t="s">
        <v>413</v>
      </c>
      <c r="D80" s="39" t="s">
        <v>331</v>
      </c>
      <c r="E80" s="242" t="s">
        <v>405</v>
      </c>
    </row>
    <row r="81" spans="2:11" x14ac:dyDescent="0.15">
      <c r="B81" s="227" t="s">
        <v>414</v>
      </c>
      <c r="C81" s="39" t="s">
        <v>415</v>
      </c>
      <c r="D81" s="39" t="s">
        <v>331</v>
      </c>
      <c r="E81" s="242" t="s">
        <v>405</v>
      </c>
    </row>
    <row r="82" spans="2:11" x14ac:dyDescent="0.15">
      <c r="B82" s="227" t="s">
        <v>416</v>
      </c>
      <c r="C82" s="39" t="s">
        <v>402</v>
      </c>
      <c r="D82" s="39" t="s">
        <v>107</v>
      </c>
      <c r="E82" s="242" t="s">
        <v>405</v>
      </c>
    </row>
    <row r="83" spans="2:11" x14ac:dyDescent="0.15">
      <c r="C83" s="39"/>
      <c r="E83" s="231"/>
    </row>
    <row r="84" spans="2:11" x14ac:dyDescent="0.15">
      <c r="B84" s="240" t="s">
        <v>417</v>
      </c>
      <c r="C84" s="241"/>
      <c r="D84" s="241"/>
      <c r="E84" s="241"/>
      <c r="F84" s="241"/>
      <c r="G84" s="241"/>
      <c r="H84" s="241"/>
      <c r="I84" s="241"/>
      <c r="J84" s="241"/>
      <c r="K84" s="241"/>
    </row>
    <row r="85" spans="2:11" x14ac:dyDescent="0.15">
      <c r="B85" s="227" t="s">
        <v>409</v>
      </c>
      <c r="C85" s="39" t="s">
        <v>410</v>
      </c>
      <c r="D85" s="39" t="s">
        <v>331</v>
      </c>
      <c r="E85" s="49" t="s">
        <v>418</v>
      </c>
    </row>
    <row r="86" spans="2:11" x14ac:dyDescent="0.15">
      <c r="B86" s="227" t="s">
        <v>412</v>
      </c>
      <c r="C86" s="39" t="s">
        <v>413</v>
      </c>
      <c r="D86" s="39" t="s">
        <v>331</v>
      </c>
      <c r="E86" s="232" t="s">
        <v>419</v>
      </c>
    </row>
    <row r="87" spans="2:11" x14ac:dyDescent="0.15">
      <c r="B87" s="227" t="s">
        <v>414</v>
      </c>
      <c r="C87" s="39" t="s">
        <v>415</v>
      </c>
      <c r="D87" s="39" t="s">
        <v>331</v>
      </c>
      <c r="E87" s="49" t="s">
        <v>420</v>
      </c>
    </row>
    <row r="88" spans="2:11" x14ac:dyDescent="0.15">
      <c r="B88" s="227" t="s">
        <v>416</v>
      </c>
      <c r="C88" s="39" t="s">
        <v>402</v>
      </c>
      <c r="D88" s="39" t="s">
        <v>107</v>
      </c>
      <c r="E88" s="242" t="s">
        <v>405</v>
      </c>
    </row>
    <row r="89" spans="2:11" x14ac:dyDescent="0.15">
      <c r="C89" s="39"/>
      <c r="E89" s="231"/>
    </row>
    <row r="90" spans="2:11" x14ac:dyDescent="0.15">
      <c r="B90" s="240" t="s">
        <v>421</v>
      </c>
      <c r="C90" s="241"/>
      <c r="D90" s="241"/>
      <c r="E90" s="241"/>
      <c r="F90" s="241"/>
      <c r="G90" s="241"/>
      <c r="H90" s="241"/>
      <c r="I90" s="241"/>
      <c r="J90" s="241"/>
      <c r="K90" s="241"/>
    </row>
    <row r="91" spans="2:11" x14ac:dyDescent="0.15">
      <c r="B91" s="227" t="s">
        <v>409</v>
      </c>
      <c r="C91" s="39" t="s">
        <v>410</v>
      </c>
      <c r="D91" s="39" t="s">
        <v>331</v>
      </c>
      <c r="E91" s="49" t="s">
        <v>159</v>
      </c>
    </row>
    <row r="92" spans="2:11" x14ac:dyDescent="0.15">
      <c r="B92" s="227" t="s">
        <v>412</v>
      </c>
      <c r="C92" s="39" t="s">
        <v>413</v>
      </c>
      <c r="D92" s="39" t="s">
        <v>331</v>
      </c>
      <c r="E92" s="242" t="s">
        <v>405</v>
      </c>
    </row>
    <row r="93" spans="2:11" x14ac:dyDescent="0.15">
      <c r="B93" s="227" t="s">
        <v>414</v>
      </c>
      <c r="C93" s="39" t="s">
        <v>415</v>
      </c>
      <c r="D93" s="39" t="s">
        <v>331</v>
      </c>
      <c r="E93" s="242" t="s">
        <v>405</v>
      </c>
      <c r="H93" s="49"/>
    </row>
    <row r="94" spans="2:11" x14ac:dyDescent="0.15">
      <c r="B94" s="227" t="s">
        <v>422</v>
      </c>
      <c r="C94" s="39" t="s">
        <v>402</v>
      </c>
      <c r="D94" s="39" t="s">
        <v>107</v>
      </c>
      <c r="E94" s="49" t="s">
        <v>423</v>
      </c>
      <c r="H94" s="49" t="s">
        <v>424</v>
      </c>
    </row>
    <row r="96" spans="2:11" x14ac:dyDescent="0.15">
      <c r="C96" s="39"/>
      <c r="D96" s="39"/>
      <c r="E96" s="242"/>
      <c r="H96" s="49"/>
    </row>
    <row r="97" spans="1:11" x14ac:dyDescent="0.15">
      <c r="B97" s="240" t="s">
        <v>425</v>
      </c>
      <c r="C97" s="241"/>
      <c r="D97" s="241"/>
      <c r="E97" s="241"/>
      <c r="F97" s="241"/>
      <c r="G97" s="241"/>
      <c r="H97" s="241"/>
      <c r="I97" s="241"/>
      <c r="J97" s="241"/>
      <c r="K97" s="241"/>
    </row>
    <row r="98" spans="1:11" x14ac:dyDescent="0.15">
      <c r="B98" s="227" t="s">
        <v>409</v>
      </c>
      <c r="C98" s="39" t="s">
        <v>410</v>
      </c>
      <c r="D98" s="39" t="s">
        <v>331</v>
      </c>
      <c r="E98" s="49" t="s">
        <v>171</v>
      </c>
    </row>
    <row r="99" spans="1:11" x14ac:dyDescent="0.15">
      <c r="B99" s="227" t="s">
        <v>412</v>
      </c>
      <c r="C99" s="39" t="s">
        <v>413</v>
      </c>
      <c r="D99" s="39" t="s">
        <v>331</v>
      </c>
      <c r="E99" s="242" t="s">
        <v>405</v>
      </c>
    </row>
    <row r="100" spans="1:11" x14ac:dyDescent="0.15">
      <c r="B100" s="227" t="s">
        <v>414</v>
      </c>
      <c r="C100" s="39" t="s">
        <v>415</v>
      </c>
      <c r="D100" s="39" t="s">
        <v>331</v>
      </c>
      <c r="E100" s="242" t="s">
        <v>405</v>
      </c>
    </row>
    <row r="101" spans="1:11" x14ac:dyDescent="0.15">
      <c r="B101" s="227" t="s">
        <v>426</v>
      </c>
      <c r="C101" s="39" t="s">
        <v>402</v>
      </c>
      <c r="D101" s="39" t="s">
        <v>107</v>
      </c>
      <c r="E101" s="232" t="s">
        <v>423</v>
      </c>
      <c r="H101" s="49" t="s">
        <v>427</v>
      </c>
    </row>
    <row r="103" spans="1:11" x14ac:dyDescent="0.15">
      <c r="C103" s="231"/>
    </row>
    <row r="104" spans="1:11" s="69" customFormat="1" x14ac:dyDescent="0.15">
      <c r="A104"/>
      <c r="B104" s="230" t="s">
        <v>428</v>
      </c>
      <c r="C104" s="224"/>
      <c r="D104" s="224"/>
      <c r="E104" s="225"/>
      <c r="F104" s="225"/>
      <c r="G104" s="225"/>
      <c r="H104" s="225"/>
      <c r="I104" s="225"/>
      <c r="J104" s="225"/>
      <c r="K104" s="225"/>
    </row>
    <row r="105" spans="1:11" x14ac:dyDescent="0.15">
      <c r="B105" s="227" t="s">
        <v>429</v>
      </c>
      <c r="C105" s="39" t="s">
        <v>402</v>
      </c>
      <c r="D105" s="39" t="s">
        <v>107</v>
      </c>
      <c r="E105" s="49" t="s">
        <v>430</v>
      </c>
    </row>
    <row r="106" spans="1:11" x14ac:dyDescent="0.15">
      <c r="B106" s="227" t="s">
        <v>431</v>
      </c>
      <c r="C106" s="39" t="s">
        <v>402</v>
      </c>
      <c r="D106" s="39" t="s">
        <v>107</v>
      </c>
      <c r="E106" s="242" t="s">
        <v>405</v>
      </c>
    </row>
    <row r="107" spans="1:11" x14ac:dyDescent="0.15">
      <c r="B107" s="227" t="s">
        <v>432</v>
      </c>
      <c r="C107" s="39" t="s">
        <v>89</v>
      </c>
      <c r="D107" s="39" t="s">
        <v>107</v>
      </c>
      <c r="E107" s="242" t="s">
        <v>405</v>
      </c>
    </row>
    <row r="108" spans="1:11" x14ac:dyDescent="0.15">
      <c r="B108" s="227" t="s">
        <v>433</v>
      </c>
      <c r="C108" s="39" t="s">
        <v>413</v>
      </c>
      <c r="D108" s="39" t="s">
        <v>434</v>
      </c>
      <c r="E108" s="246" t="s">
        <v>405</v>
      </c>
    </row>
    <row r="109" spans="1:11" x14ac:dyDescent="0.15">
      <c r="C109" s="49"/>
    </row>
    <row r="110" spans="1:11" x14ac:dyDescent="0.15">
      <c r="C110" s="49"/>
    </row>
    <row r="111" spans="1:11" s="69" customFormat="1" x14ac:dyDescent="0.15">
      <c r="B111" s="229" t="s">
        <v>435</v>
      </c>
      <c r="C111" s="239"/>
      <c r="E111" s="222" t="s">
        <v>294</v>
      </c>
    </row>
    <row r="112" spans="1:11" x14ac:dyDescent="0.15">
      <c r="B112" s="227" t="s">
        <v>436</v>
      </c>
      <c r="C112" s="223"/>
      <c r="E112" t="s">
        <v>437</v>
      </c>
    </row>
    <row r="113" spans="2:5" x14ac:dyDescent="0.15">
      <c r="C113" s="223"/>
    </row>
    <row r="114" spans="2:5" x14ac:dyDescent="0.15">
      <c r="C114" s="223"/>
    </row>
    <row r="116" spans="2:5" s="69" customFormat="1" x14ac:dyDescent="0.15">
      <c r="B116" s="229" t="s">
        <v>438</v>
      </c>
      <c r="D116" s="222" t="s">
        <v>301</v>
      </c>
      <c r="E116" s="222" t="s">
        <v>294</v>
      </c>
    </row>
    <row r="117" spans="2:5" x14ac:dyDescent="0.15">
      <c r="B117" s="227" t="s">
        <v>439</v>
      </c>
      <c r="D117" s="39" t="s">
        <v>107</v>
      </c>
      <c r="E117" s="49" t="s">
        <v>440</v>
      </c>
    </row>
    <row r="118" spans="2:5" x14ac:dyDescent="0.15">
      <c r="B118" s="227" t="s">
        <v>441</v>
      </c>
      <c r="C118" s="49"/>
      <c r="D118" s="39" t="s">
        <v>107</v>
      </c>
    </row>
    <row r="119" spans="2:5" x14ac:dyDescent="0.15">
      <c r="B119" s="227" t="s">
        <v>442</v>
      </c>
      <c r="C119" s="49"/>
      <c r="D119" s="39" t="s">
        <v>107</v>
      </c>
    </row>
    <row r="122" spans="2:5" s="69" customFormat="1" x14ac:dyDescent="0.15">
      <c r="B122" s="229" t="s">
        <v>443</v>
      </c>
      <c r="D122" s="222" t="s">
        <v>301</v>
      </c>
      <c r="E122" s="233" t="s">
        <v>294</v>
      </c>
    </row>
    <row r="123" spans="2:5" x14ac:dyDescent="0.15">
      <c r="B123" s="228" t="s">
        <v>444</v>
      </c>
      <c r="D123" s="39" t="s">
        <v>107</v>
      </c>
      <c r="E123" s="49" t="s">
        <v>445</v>
      </c>
    </row>
    <row r="124" spans="2:5" x14ac:dyDescent="0.15">
      <c r="B124" s="227" t="s">
        <v>446</v>
      </c>
      <c r="D124" s="39" t="s">
        <v>107</v>
      </c>
      <c r="E124" s="49" t="s">
        <v>447</v>
      </c>
    </row>
    <row r="125" spans="2:5" x14ac:dyDescent="0.15">
      <c r="B125" s="227" t="s">
        <v>448</v>
      </c>
      <c r="C125" s="39" t="s">
        <v>449</v>
      </c>
      <c r="D125" s="39" t="s">
        <v>107</v>
      </c>
      <c r="E125" t="s">
        <v>450</v>
      </c>
    </row>
  </sheetData>
  <hyperlinks>
    <hyperlink ref="C5" r:id="rId1" xr:uid="{F7DA238D-2141-FF40-A4E4-CEA00EDBCEAC}"/>
    <hyperlink ref="C6" r:id="rId2" xr:uid="{2FB491F5-EFD5-DD46-AA14-7D30C14D9DDE}"/>
    <hyperlink ref="B123" r:id="rId3" display="https://gitlab-master.nvidia.com/kumo-tfm-nims/sdm-client" xr:uid="{07BB1F8C-9387-C544-B116-160C33A0261E}"/>
    <hyperlink ref="E117" r:id="rId4" location="heading=h.stpcgzr927y2" xr:uid="{0B20740C-E2CF-3D4E-A14A-D3DB38D0981F}"/>
    <hyperlink ref="E123" r:id="rId5" location="heading=h.c0ks8judyiw6" xr:uid="{6C19314A-2AFA-7747-873D-066DFC717A4E}"/>
    <hyperlink ref="E124" r:id="rId6" xr:uid="{90B815B1-71C4-3C47-B135-84B762B0D3CB}"/>
    <hyperlink ref="E105" r:id="rId7" xr:uid="{8B55D9C6-7641-3A47-84D5-EE48DDD0D2FE}"/>
    <hyperlink ref="E75" r:id="rId8" xr:uid="{DF4A56E7-F5DE-484B-ADDD-5C5586967AC0}"/>
    <hyperlink ref="G67" r:id="rId9" display="https://nvidia.sharepoint.com/:f:/r/sites/Kumo/Shared Documents/Engineering/Engineering Operations?d=w3954ad859ef04901849d84480db5bf37&amp;csf=1&amp;web=1&amp;e=6Jl9GO" xr:uid="{0FFC3167-472B-324B-BBA1-637805A59EAB}"/>
    <hyperlink ref="G29" r:id="rId10" display="https://nvidia.sharepoint.com/:p:/r/sites/Kumo/Shared Documents/Internal Presentations/Kumo SDGM Relational Tabular - keynote AutoML - Sep 2026.pptx?d=wab2ab177a1264129b5972117309a5163&amp;csf=1&amp;web=1&amp;e=V8Nmx8" xr:uid="{6A1B0497-3473-FD47-90F1-2515E3DA06F8}"/>
    <hyperlink ref="G34" r:id="rId11" display="https://nvidia.sharepoint.com/:p:/r/sites/Kumo/Shared Documents/Internal Presentations/Kumo Ecosystem Map + LHAs.pptx?d=w2d326483cf5a489ea70d27a64a4fdc7f&amp;csf=1&amp;web=1&amp;e=3e5zTo" xr:uid="{6489EA4B-716B-664D-A040-32945386817F}"/>
    <hyperlink ref="G30" r:id="rId12" display="https://nvidia.sharepoint.com/:p:/r/sites/Kumo/Shared Documents/Internal Presentations/NVIDIA_KUMO_Dwight_allhands_sep26-FINAL.pptx?d=w59588c5f971743878e4321eebcf0ce7f&amp;csf=1&amp;web=1&amp;e=zReW7z" xr:uid="{BB7BC959-B995-6241-8EDE-758A7A31E6DC}"/>
    <hyperlink ref="G35" r:id="rId13" display="https://nvidia.sharepoint.com/:p:/r/sites/Kumo/Shared Documents/Internal Presentations/Kumo Model by Predictive Tasks and PQuery.pptx?d=w5e09d0b633c84e6db87ea28066581e8f&amp;csf=1&amp;web=1&amp;e=EsGDTq" xr:uid="{104A481A-1AD9-E549-BF3D-F70908E8C34B}"/>
    <hyperlink ref="G31" r:id="rId14" display="https://nvidia.sharepoint.com/:p:/r/sites/Kumo/Shared Documents/Internal Presentations/NVIDIA_KUMO_Dwight_team_jun26.pptx?d=w7d59129571ad40cdb0ec5d047ce66825&amp;csf=1&amp;web=1&amp;e=avW4ld" xr:uid="{CC9535A3-8B13-3246-9620-09779A456302}"/>
    <hyperlink ref="D16" r:id="rId15" display="https://nvidia.sharepoint.com/:p:/r/sites/Kumo/Shared Documents/Internal Presentations/NVIDIA_KUMO_Intro_Fraud_Sept22.pptx?d=w04baca0019014c00b321a799cec4bb61&amp;csf=1&amp;web=1&amp;e=F2OmmM" xr:uid="{386C0C3A-6E68-564D-B9E1-910C884FD961}"/>
    <hyperlink ref="G36" r:id="rId16" display="https://nvidia.sharepoint.com/:p:/r/sites/Kumo/Shared Documents/Internal Presentations/NVIDIA_KUMO_Agents_Intro_Jun10.pptx?d=w3ec018a77e1e4e85a1fbfa9b408e5706&amp;csf=1&amp;web=1&amp;e=w1MbVy" xr:uid="{39B552C0-996A-0043-8EE8-FFDE88902B99}"/>
    <hyperlink ref="G32" r:id="rId17" display="https://nvidia.sharepoint.com/:p:/r/sites/Kumo/Shared Documents/Internal Presentations/Frontier Structured Data and Graph Models_070226_vF.pptx?d=w57baf9a1b1a14b54bcd6e0b7844c5880&amp;csf=1&amp;web=1&amp;e=aegPg9" xr:uid="{55A5D48C-3E88-9B4E-B0C8-B031B9F7AF22}"/>
    <hyperlink ref="G25" r:id="rId18" display="https://nvidia.sharepoint.com/:p:/r/sites/Kumo/Shared Documents/Internal Presentations/NVIDIA_KUMO_Intro_0616.pptx?d=wab8b23795f924e6a83a36a3b8d62f279&amp;csf=1&amp;web=1&amp;e=OcuUrw" xr:uid="{C38E8990-8BAF-1C46-872D-669BCD65FB39}"/>
    <hyperlink ref="G37" r:id="rId19" xr:uid="{794E425B-C04F-4274-9B19-1CFDB4557CFD}"/>
    <hyperlink ref="G62" r:id="rId20" xr:uid="{39792CCA-5D25-3443-B208-D137C9EF138C}"/>
    <hyperlink ref="D22" r:id="rId21" display="https://nvidia.sharepoint.com/:p:/r/sites/Kumo/Shared Documents/Generic FC Decks/Kumo_Extended_Slide_Library.pptx?d=w1702b0bc83b7407c8122546d7754503e&amp;csf=1&amp;web=1&amp;e=gBx5Cg" xr:uid="{7EA62756-F32A-3E4B-978A-EAB3F20E1AA9}"/>
    <hyperlink ref="G39" r:id="rId22" display="https://nvidia-my.sharepoint.com/:p:/p/benwu/IQBOhDCBAtVMSrQQzknJVh_LAfy-wuAuGVPirNCmEKW4vCo?e=g3pDS5&amp;isSPOFile=1&amp;xsdata=MDV8MDJ8fDNmMTNjYWQ0OWE3NzQyMjMwY2JhMDhkZjE0ZDYwNTE4fDQzMDgzZDE1NzI3MzQwYzFiN2RiMzllZmQ5Y2NjMTdhfDB8MHw2MzkyNTI1ODE1NTA5MjY3MTN8VW5rbm93bnxWR1ZoYlhOVFpXTjFjbWwwZVZObGNuWnBZMlY4ZXlKRFFTSTZJbFJsWVcxelgwRlVVRk5sY25acFkyVmZVMUJQVEU5R0lpd2lWaUk2SWpBdU1DNHdNREF3SWl3aVVDSTZJbGRwYmpNeUlpd2lRVTRpT2lKUGRHaGxjaUlzSWxkVUlqb3hNWDA9fDF8TDJOb1lYUnpMekU1T20xbFpYUnBibWRmV2xkU2ExcHFZelJOUkVWMFdsUk5NVTU1TURCYVIwMTVURmRLYkU1RVozUmFhbXhxV1ZkV2EwOVhTVEJOUkVGNVFIUm9jbVZoWkM1Mk1pOXRaWE56WVdkbGN5OHhOemc1TmpZeE16VXpOVE0zfDU5NTU4YjJjODUwNTQwN2E4ZWE1MDhkZjE0ZDYwNTE3fDgyOThlYThkMWUwMjQzN2NhYzAyMjE1Yjc5ZDFlOWQw&amp;sdata=NEZOcDMxanhZUG02UFliN29ha01UVlJFUkU2RlA2WlpTYXNuQ2RuN1hKcz0%3D&amp;ovuser=43083d15-7273-40c1-b7db-39efd9ccc17a%2Cbenwu%40nvidia.com" xr:uid="{847F49FE-093C-7C48-9604-A6D29FDCDE32}"/>
    <hyperlink ref="G40" r:id="rId23" display="https://nvidia.sharepoint.com/:p:/r/sites/Kumo/Shared Documents/External Presentations/Customer Presentations/nvidia_intesa_010012026.pptx?d=w9a26f343f07a48ec8f71525149742dd8&amp;csf=1&amp;web=1&amp;e=tEXtKh" xr:uid="{DB0653EB-E566-6246-B0C5-FB81BD4D2594}"/>
    <hyperlink ref="G47" r:id="rId24" display="https://nvidia.sharepoint.com/:v:/r/sites/Kumo/Shared Documents/Demo Videos/Text to Prediction Demos/KumoRFM Prediction Agent_VoiceOver_Jan17.mp4?d=w63277525afc24a91b11e7243db8e5a2f&amp;csf=1&amp;web=1&amp;e=HFwXNS&amp;nav=eyJyZWZlcnJhbEluZm8iOnsicmVmZXJyYWxBcHAiOiJTdHJlYW1XZWJBcHAiLCJyZWZlcnJhbFZpZXciOiJTaGFyZURpYWxvZy1MaW5rIiwicmVmZXJyYWxBcHBQbGF0Zm9ybSI6IldlYiIsInJlZmVycmFsTW9kZSI6InZpZXcifX0%3D" xr:uid="{CEE052CE-8363-5544-9E1B-A4A57CD60690}"/>
    <hyperlink ref="G49" r:id="rId25" display="https://nvidia.sharepoint.com/:v:/r/sites/Kumo/Shared Documents/Demo Videos/Text to Prediction Demos/si-sales-query.mp4?d=w2b78dffd6a134222937613a98d613978&amp;csf=1&amp;web=1&amp;e=ewygOp" xr:uid="{137FB5D5-17E0-A24B-B4B6-5BA5E83871F4}"/>
    <hyperlink ref="G51" r:id="rId26" display="https://nvidia.sharepoint.com/:v:/r/sites/Kumo/Shared Documents/Demo Videos/Tesseract - Predictive Maintenance/NV-Tesseract Predictive Maintenance Blueprint Demo-20260904_114014-Meeting Recording.mp4?d=w61f05d8afae94d66844dbfbbc747fc16&amp;csf=1&amp;web=1&amp;e=1XU2zJ" xr:uid="{30508474-C2FA-734C-A033-D6619DC19D46}"/>
    <hyperlink ref="G48" r:id="rId27" display="https://nvidia.sharepoint.com/:v:/r/sites/Kumo/Shared Documents/Demo Videos/Text to Prediction Demos/kumormf-Text2Pql_Short.mp4?d=wddaf981e4ed94e7dbbdef675dd8ba1f0&amp;csf=1&amp;web=1&amp;e=WLFBla" xr:uid="{38CC1F80-3F00-F64C-8BD9-A351AE762241}"/>
    <hyperlink ref="G53" r:id="rId28" display="https://nvidia.sharepoint.com/:v:/r/sites/Kumo/Shared Documents/Demo Videos/SnowflakeML Integration Videos/Kumo3inSnowML_Demo_Aug3.mp4?d=w7df5c3d818344da58d911c3651931986&amp;csf=1&amp;web=1&amp;e=2T4LMB" xr:uid="{48366F97-7B8A-B042-9614-4CE297C2E317}"/>
    <hyperlink ref="G52" r:id="rId29" display="https://nvidia.sharepoint.com/:v:/r/sites/Kumo/Shared Documents/Demo Videos/Recsys Demos/Online ServingRecSys_vFinal.mp4?d=w4d28b78a93a0465da8d474f0938b6a57&amp;csf=1&amp;web=1&amp;e=TcNZs8" xr:uid="{D67A408F-9BFF-554A-BE6B-9072DEDF3551}"/>
    <hyperlink ref="G54" r:id="rId30" display="https://nvidia.sharepoint.com/:v:/r/sites/Kumo/Shared Documents/Demo Videos/Fraud Demos/Fraud_Demo_Josh Voice Over.mov?d=wa8d8abaea39141a5af45036d083528da&amp;csf=1&amp;web=1&amp;e=QZJHdG&amp;nav=eyJyZWZlcnJhbEluZm8iOnsicmVmZXJyYWxBcHAiOiJTdHJlYW1XZWJBcHAiLCJyZWZlcnJhbFZpZXciOiJTaGFyZURpYWxvZy1MaW5rIiwicmVmZXJyYWxBcHBQbGF0Zm9ybSI6IldlYiIsInJlZmVycmFsTW9kZSI6InZpZXcifX0%3D" xr:uid="{13F16396-D26E-6D47-8662-9A6513E97562}"/>
    <hyperlink ref="E91" r:id="rId31" xr:uid="{ED2BEEB7-915B-B046-9F29-96A6522505E2}"/>
    <hyperlink ref="E98" r:id="rId32" xr:uid="{889BEDB1-A40B-BF4E-A626-6E0D57CCFC4C}"/>
    <hyperlink ref="H94" r:id="rId33" xr:uid="{F6906531-374F-CA4A-BE2B-B1D4D23FB741}"/>
    <hyperlink ref="H101" r:id="rId34" xr:uid="{D400B9C8-DEB0-224F-8463-0E0175C83F43}"/>
    <hyperlink ref="D10" r:id="rId35" display="https://nvidia.sharepoint.com/:p:/r/sites/TeslaBU/Shared Documents/Product Marketing/Data Processing/Presentation Decks/Structured Data Processing Master Deck.pptx?d=w54556aee9e8a41149963e660587e0079&amp;csf=1&amp;web=1&amp;e=UxuPNd" xr:uid="{B42E031B-09BC-794A-A4A9-7AFFF757C870}"/>
    <hyperlink ref="E85" r:id="rId36" xr:uid="{F0E4602E-66E7-4B3C-8D92-3052EC098162}"/>
    <hyperlink ref="E94" r:id="rId37" xr:uid="{47A86E7B-D9C4-374E-9C12-A199D77A63FD}"/>
    <hyperlink ref="D14" r:id="rId38" display="https://nvidia.sharepoint.com/:p:/r/sites/Kumo/Shared Documents/Internal Presentations/Kumo_Technical Introduction_Oct6_JP.pptx?d=wefd39be23afb4856ba057aee9c93e581&amp;csf=1&amp;web=1&amp;e=6hIeqc" xr:uid="{1F87CEBE-A7B6-E14B-A8FC-FCA188CD44EE}"/>
    <hyperlink ref="D11" r:id="rId39" display="https://nvidia-my.sharepoint.com/:p:/r/personal/ihulseman_nvidia_com/Documents/%5BNOT LIVE%5D NVIDIA Kumo Customer Deck Working Deck.pptx?d=wac536ed046ce4361932fafb1ec0c6901&amp;csf=1&amp;web=1&amp;e=o4zsFm" xr:uid="{9BAE7BAA-60D6-7D41-83FD-EC49C34CBB53}"/>
    <hyperlink ref="G43" r:id="rId40" xr:uid="{D5F0202F-32BA-4626-97EE-FE6661D85C85}"/>
    <hyperlink ref="C58" r:id="rId41" xr:uid="{BCCC792C-C385-4180-B05A-8AF9EFD19683}"/>
    <hyperlink ref="C60" r:id="rId42" xr:uid="{FF18D31F-0CD8-4781-A9FC-757440E9C862}"/>
    <hyperlink ref="C64" r:id="rId43" xr:uid="{3AFE0EA7-6FF4-4311-9E79-3ED81956E08F}"/>
    <hyperlink ref="E87" r:id="rId44" xr:uid="{36761113-1393-0C44-8D24-4BF1124E8CE4}"/>
    <hyperlink ref="E72" r:id="rId45" xr:uid="{F0DB58BF-699F-D045-9282-F80472C91CA8}"/>
  </hyperlink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A4EBC-2BB0-C948-B72E-37D7670E05BA}">
  <sheetPr>
    <tabColor theme="7"/>
  </sheetPr>
  <dimension ref="A2:H92"/>
  <sheetViews>
    <sheetView zoomScale="138" zoomScaleNormal="138" workbookViewId="0">
      <selection activeCell="C21" sqref="C21"/>
    </sheetView>
  </sheetViews>
  <sheetFormatPr baseColWidth="10" defaultColWidth="11.5" defaultRowHeight="13" x14ac:dyDescent="0.15"/>
  <cols>
    <col min="1" max="1" width="6.83203125" customWidth="1"/>
    <col min="2" max="2" width="3.6640625" style="251" customWidth="1"/>
    <col min="3" max="3" width="66.83203125" customWidth="1"/>
    <col min="4" max="4" width="19.33203125" customWidth="1"/>
    <col min="5" max="5" width="8.83203125" customWidth="1"/>
    <col min="6" max="6" width="84.6640625" customWidth="1"/>
    <col min="7" max="7" width="67.1640625" customWidth="1"/>
    <col min="8" max="8" width="73.6640625" customWidth="1"/>
  </cols>
  <sheetData>
    <row r="2" spans="1:8" s="249" customFormat="1" x14ac:dyDescent="0.15">
      <c r="B2" s="253"/>
    </row>
    <row r="3" spans="1:8" s="249" customFormat="1" x14ac:dyDescent="0.15">
      <c r="A3" s="250" t="s">
        <v>451</v>
      </c>
      <c r="B3" s="254"/>
    </row>
    <row r="4" spans="1:8" s="69" customFormat="1" x14ac:dyDescent="0.15">
      <c r="B4" s="252" t="s">
        <v>452</v>
      </c>
      <c r="C4" s="68" t="s">
        <v>453</v>
      </c>
      <c r="D4" s="68" t="s">
        <v>14</v>
      </c>
      <c r="E4" s="68" t="s">
        <v>454</v>
      </c>
      <c r="F4" s="68" t="s">
        <v>455</v>
      </c>
      <c r="G4" s="68" t="s">
        <v>456</v>
      </c>
      <c r="H4" s="68" t="s">
        <v>457</v>
      </c>
    </row>
    <row r="5" spans="1:8" s="261" customFormat="1" x14ac:dyDescent="0.15">
      <c r="B5" s="264"/>
      <c r="C5" s="259"/>
      <c r="D5" s="259"/>
      <c r="E5" s="259"/>
      <c r="F5" s="259"/>
      <c r="G5" s="259"/>
      <c r="H5" s="259"/>
    </row>
    <row r="6" spans="1:8" s="261" customFormat="1" x14ac:dyDescent="0.15">
      <c r="B6" s="264"/>
      <c r="C6" s="259"/>
      <c r="D6" s="259"/>
      <c r="E6" s="259"/>
      <c r="F6" s="259"/>
      <c r="G6" s="259"/>
      <c r="H6" s="259"/>
    </row>
    <row r="7" spans="1:8" s="261" customFormat="1" x14ac:dyDescent="0.15">
      <c r="B7" s="263">
        <v>0</v>
      </c>
      <c r="C7" s="259" t="s">
        <v>458</v>
      </c>
      <c r="D7" s="259" t="s">
        <v>459</v>
      </c>
      <c r="E7" s="259"/>
      <c r="F7" s="259"/>
      <c r="G7" s="259"/>
      <c r="H7" s="259"/>
    </row>
    <row r="8" spans="1:8" s="261" customFormat="1" x14ac:dyDescent="0.15">
      <c r="B8" s="264"/>
      <c r="C8" s="259"/>
      <c r="D8" s="259"/>
      <c r="E8" s="259"/>
      <c r="F8" s="259"/>
      <c r="G8" s="259"/>
      <c r="H8" s="259"/>
    </row>
    <row r="9" spans="1:8" s="261" customFormat="1" x14ac:dyDescent="0.15">
      <c r="B9" s="264"/>
      <c r="C9" s="259"/>
      <c r="D9" s="259"/>
      <c r="E9" s="259"/>
      <c r="F9" s="259"/>
      <c r="G9" s="259"/>
      <c r="H9" s="259"/>
    </row>
    <row r="10" spans="1:8" s="261" customFormat="1" x14ac:dyDescent="0.15">
      <c r="B10" s="264"/>
      <c r="C10" s="259"/>
      <c r="D10" s="259"/>
      <c r="E10" s="259"/>
      <c r="F10" s="259"/>
      <c r="G10" s="259"/>
      <c r="H10" s="259"/>
    </row>
    <row r="11" spans="1:8" s="261" customFormat="1" x14ac:dyDescent="0.15">
      <c r="B11" s="264"/>
      <c r="C11" s="259"/>
      <c r="D11" s="259"/>
      <c r="E11" s="259"/>
      <c r="F11" s="259"/>
      <c r="G11" s="259"/>
      <c r="H11" s="259"/>
    </row>
    <row r="12" spans="1:8" s="261" customFormat="1" x14ac:dyDescent="0.15">
      <c r="B12" s="263">
        <v>1</v>
      </c>
      <c r="C12" s="259" t="s">
        <v>460</v>
      </c>
      <c r="D12" s="259" t="s">
        <v>461</v>
      </c>
      <c r="E12" s="259"/>
      <c r="F12" s="259" t="s">
        <v>462</v>
      </c>
      <c r="G12" s="259" t="s">
        <v>463</v>
      </c>
      <c r="H12" s="259" t="s">
        <v>464</v>
      </c>
    </row>
    <row r="13" spans="1:8" s="261" customFormat="1" x14ac:dyDescent="0.15">
      <c r="B13" s="262"/>
      <c r="F13" s="259" t="s">
        <v>465</v>
      </c>
    </row>
    <row r="14" spans="1:8" s="261" customFormat="1" x14ac:dyDescent="0.15">
      <c r="B14" s="262"/>
      <c r="F14" s="259" t="s">
        <v>466</v>
      </c>
    </row>
    <row r="15" spans="1:8" s="261" customFormat="1" x14ac:dyDescent="0.15">
      <c r="B15" s="262"/>
      <c r="F15" s="259" t="s">
        <v>467</v>
      </c>
    </row>
    <row r="16" spans="1:8" s="261" customFormat="1" x14ac:dyDescent="0.15">
      <c r="B16" s="262"/>
      <c r="F16" s="259" t="s">
        <v>468</v>
      </c>
    </row>
    <row r="17" spans="2:8" s="261" customFormat="1" x14ac:dyDescent="0.15">
      <c r="B17" s="262"/>
      <c r="F17" s="259" t="s">
        <v>469</v>
      </c>
    </row>
    <row r="18" spans="2:8" s="261" customFormat="1" x14ac:dyDescent="0.15">
      <c r="B18" s="262"/>
      <c r="F18" s="259" t="s">
        <v>470</v>
      </c>
    </row>
    <row r="19" spans="2:8" s="261" customFormat="1" x14ac:dyDescent="0.15">
      <c r="B19" s="262"/>
      <c r="F19" s="259" t="s">
        <v>471</v>
      </c>
    </row>
    <row r="20" spans="2:8" s="261" customFormat="1" x14ac:dyDescent="0.15">
      <c r="B20" s="262"/>
      <c r="F20" s="259"/>
    </row>
    <row r="21" spans="2:8" s="261" customFormat="1" x14ac:dyDescent="0.15">
      <c r="B21" s="263">
        <v>2</v>
      </c>
      <c r="C21" s="259" t="s">
        <v>472</v>
      </c>
      <c r="D21" s="259" t="s">
        <v>461</v>
      </c>
      <c r="F21" s="259" t="s">
        <v>473</v>
      </c>
      <c r="G21" s="259" t="s">
        <v>474</v>
      </c>
      <c r="H21" s="259" t="s">
        <v>43</v>
      </c>
    </row>
    <row r="22" spans="2:8" s="261" customFormat="1" x14ac:dyDescent="0.15">
      <c r="B22" s="262"/>
      <c r="F22" s="259" t="s">
        <v>475</v>
      </c>
    </row>
    <row r="23" spans="2:8" s="261" customFormat="1" x14ac:dyDescent="0.15">
      <c r="B23" s="262"/>
      <c r="F23" s="259" t="s">
        <v>476</v>
      </c>
    </row>
    <row r="24" spans="2:8" s="261" customFormat="1" x14ac:dyDescent="0.15">
      <c r="B24" s="262"/>
      <c r="F24" s="259" t="s">
        <v>477</v>
      </c>
    </row>
    <row r="25" spans="2:8" s="261" customFormat="1" x14ac:dyDescent="0.15">
      <c r="B25" s="262"/>
      <c r="F25" s="259" t="s">
        <v>478</v>
      </c>
    </row>
    <row r="27" spans="2:8" x14ac:dyDescent="0.15">
      <c r="B27" s="251">
        <v>3</v>
      </c>
      <c r="C27" s="39" t="s">
        <v>479</v>
      </c>
      <c r="D27" s="39" t="s">
        <v>461</v>
      </c>
      <c r="F27" s="39" t="s">
        <v>480</v>
      </c>
      <c r="G27" s="39" t="s">
        <v>481</v>
      </c>
      <c r="H27" s="39" t="s">
        <v>482</v>
      </c>
    </row>
    <row r="28" spans="2:8" x14ac:dyDescent="0.15">
      <c r="C28" s="39"/>
      <c r="F28" s="39" t="s">
        <v>483</v>
      </c>
    </row>
    <row r="29" spans="2:8" x14ac:dyDescent="0.15">
      <c r="F29" s="39" t="s">
        <v>484</v>
      </c>
    </row>
    <row r="30" spans="2:8" x14ac:dyDescent="0.15">
      <c r="F30" s="39" t="s">
        <v>485</v>
      </c>
    </row>
    <row r="31" spans="2:8" x14ac:dyDescent="0.15">
      <c r="F31" s="39"/>
    </row>
    <row r="32" spans="2:8" x14ac:dyDescent="0.15">
      <c r="B32" s="251">
        <v>4</v>
      </c>
      <c r="C32" s="39" t="s">
        <v>486</v>
      </c>
      <c r="D32" s="39" t="s">
        <v>487</v>
      </c>
      <c r="F32" s="39" t="s">
        <v>488</v>
      </c>
      <c r="G32" s="39" t="s">
        <v>489</v>
      </c>
    </row>
    <row r="33" spans="2:8" x14ac:dyDescent="0.15">
      <c r="F33" s="39" t="s">
        <v>490</v>
      </c>
    </row>
    <row r="34" spans="2:8" x14ac:dyDescent="0.15">
      <c r="F34" s="39" t="s">
        <v>491</v>
      </c>
    </row>
    <row r="35" spans="2:8" x14ac:dyDescent="0.15">
      <c r="F35" s="39" t="s">
        <v>492</v>
      </c>
    </row>
    <row r="36" spans="2:8" x14ac:dyDescent="0.15">
      <c r="F36" s="39" t="s">
        <v>493</v>
      </c>
    </row>
    <row r="37" spans="2:8" x14ac:dyDescent="0.15">
      <c r="F37" s="39"/>
    </row>
    <row r="38" spans="2:8" x14ac:dyDescent="0.15">
      <c r="B38" s="251">
        <v>6</v>
      </c>
      <c r="C38" s="39" t="s">
        <v>494</v>
      </c>
      <c r="D38" s="39" t="s">
        <v>461</v>
      </c>
      <c r="F38" s="39" t="s">
        <v>495</v>
      </c>
      <c r="G38" s="39" t="s">
        <v>496</v>
      </c>
      <c r="H38" s="39" t="s">
        <v>497</v>
      </c>
    </row>
    <row r="39" spans="2:8" x14ac:dyDescent="0.15">
      <c r="F39" s="39" t="s">
        <v>498</v>
      </c>
    </row>
    <row r="40" spans="2:8" x14ac:dyDescent="0.15">
      <c r="F40" s="39" t="s">
        <v>499</v>
      </c>
    </row>
    <row r="44" spans="2:8" x14ac:dyDescent="0.15">
      <c r="B44" s="251">
        <v>5</v>
      </c>
      <c r="C44" s="39" t="s">
        <v>500</v>
      </c>
      <c r="D44" s="39" t="s">
        <v>461</v>
      </c>
      <c r="F44" s="39" t="s">
        <v>501</v>
      </c>
      <c r="H44" s="39" t="s">
        <v>502</v>
      </c>
    </row>
    <row r="48" spans="2:8" x14ac:dyDescent="0.15">
      <c r="B48" s="251">
        <v>7</v>
      </c>
      <c r="C48" s="39" t="s">
        <v>503</v>
      </c>
      <c r="D48" s="39" t="s">
        <v>487</v>
      </c>
      <c r="F48" s="39" t="s">
        <v>504</v>
      </c>
      <c r="G48" s="39" t="s">
        <v>505</v>
      </c>
      <c r="H48" s="39" t="s">
        <v>506</v>
      </c>
    </row>
    <row r="49" spans="1:8" x14ac:dyDescent="0.15">
      <c r="C49" s="39"/>
      <c r="D49" s="39"/>
      <c r="H49" s="39"/>
    </row>
    <row r="51" spans="1:8" x14ac:dyDescent="0.15">
      <c r="B51" s="251">
        <v>8</v>
      </c>
      <c r="C51" s="39" t="s">
        <v>507</v>
      </c>
      <c r="D51" s="39" t="s">
        <v>461</v>
      </c>
      <c r="F51" s="39" t="s">
        <v>508</v>
      </c>
      <c r="G51" s="39" t="s">
        <v>509</v>
      </c>
    </row>
    <row r="52" spans="1:8" x14ac:dyDescent="0.15">
      <c r="F52" s="39" t="s">
        <v>510</v>
      </c>
    </row>
    <row r="53" spans="1:8" x14ac:dyDescent="0.15">
      <c r="F53" s="39" t="s">
        <v>511</v>
      </c>
    </row>
    <row r="54" spans="1:8" x14ac:dyDescent="0.15">
      <c r="F54" s="39" t="s">
        <v>512</v>
      </c>
    </row>
    <row r="56" spans="1:8" x14ac:dyDescent="0.15">
      <c r="B56" s="251">
        <v>9</v>
      </c>
      <c r="C56" s="39" t="s">
        <v>513</v>
      </c>
      <c r="D56" s="39" t="s">
        <v>514</v>
      </c>
      <c r="F56" s="39" t="s">
        <v>515</v>
      </c>
      <c r="H56" s="39" t="s">
        <v>516</v>
      </c>
    </row>
    <row r="57" spans="1:8" x14ac:dyDescent="0.15">
      <c r="C57" s="39"/>
      <c r="D57" s="39"/>
      <c r="F57" s="39" t="s">
        <v>517</v>
      </c>
    </row>
    <row r="58" spans="1:8" x14ac:dyDescent="0.15">
      <c r="F58" s="39" t="s">
        <v>518</v>
      </c>
    </row>
    <row r="59" spans="1:8" x14ac:dyDescent="0.15">
      <c r="F59" s="39" t="s">
        <v>519</v>
      </c>
    </row>
    <row r="60" spans="1:8" x14ac:dyDescent="0.15">
      <c r="F60" s="39"/>
    </row>
    <row r="61" spans="1:8" x14ac:dyDescent="0.15">
      <c r="B61" s="251">
        <v>10</v>
      </c>
      <c r="C61" s="39" t="s">
        <v>520</v>
      </c>
      <c r="F61" s="39" t="s">
        <v>521</v>
      </c>
    </row>
    <row r="63" spans="1:8" s="22" customFormat="1" x14ac:dyDescent="0.15">
      <c r="A63" s="23" t="s">
        <v>522</v>
      </c>
      <c r="B63" s="255"/>
    </row>
    <row r="64" spans="1:8" s="69" customFormat="1" x14ac:dyDescent="0.15">
      <c r="B64" s="252" t="s">
        <v>452</v>
      </c>
      <c r="C64" s="68" t="s">
        <v>453</v>
      </c>
      <c r="D64" s="68" t="s">
        <v>14</v>
      </c>
      <c r="E64" s="68" t="s">
        <v>454</v>
      </c>
      <c r="F64" s="68" t="s">
        <v>455</v>
      </c>
      <c r="G64" s="68" t="s">
        <v>456</v>
      </c>
      <c r="H64" s="68" t="s">
        <v>457</v>
      </c>
    </row>
    <row r="65" spans="1:8" x14ac:dyDescent="0.15">
      <c r="B65" s="257"/>
      <c r="C65" s="39"/>
      <c r="D65" s="39"/>
      <c r="E65" s="39"/>
      <c r="F65" s="39"/>
      <c r="G65" s="39"/>
      <c r="H65" s="39"/>
    </row>
    <row r="66" spans="1:8" x14ac:dyDescent="0.15">
      <c r="B66" s="251">
        <v>1</v>
      </c>
      <c r="C66" s="39" t="s">
        <v>523</v>
      </c>
      <c r="D66" s="39" t="s">
        <v>461</v>
      </c>
      <c r="F66" s="39" t="s">
        <v>524</v>
      </c>
      <c r="G66" s="39" t="s">
        <v>525</v>
      </c>
      <c r="H66" s="39" t="s">
        <v>526</v>
      </c>
    </row>
    <row r="67" spans="1:8" x14ac:dyDescent="0.15">
      <c r="F67" s="39" t="s">
        <v>527</v>
      </c>
    </row>
    <row r="68" spans="1:8" x14ac:dyDescent="0.15">
      <c r="F68" s="39" t="s">
        <v>528</v>
      </c>
    </row>
    <row r="69" spans="1:8" x14ac:dyDescent="0.15">
      <c r="F69" s="39" t="s">
        <v>529</v>
      </c>
    </row>
    <row r="70" spans="1:8" x14ac:dyDescent="0.15">
      <c r="F70" s="39" t="s">
        <v>530</v>
      </c>
    </row>
    <row r="71" spans="1:8" x14ac:dyDescent="0.15">
      <c r="F71" s="39" t="s">
        <v>531</v>
      </c>
    </row>
    <row r="72" spans="1:8" x14ac:dyDescent="0.15">
      <c r="F72" s="39" t="s">
        <v>532</v>
      </c>
    </row>
    <row r="73" spans="1:8" x14ac:dyDescent="0.15">
      <c r="F73" s="39" t="s">
        <v>533</v>
      </c>
    </row>
    <row r="74" spans="1:8" x14ac:dyDescent="0.15">
      <c r="F74" s="39" t="s">
        <v>534</v>
      </c>
    </row>
    <row r="75" spans="1:8" x14ac:dyDescent="0.15">
      <c r="F75" s="39"/>
    </row>
    <row r="76" spans="1:8" s="248" customFormat="1" x14ac:dyDescent="0.15">
      <c r="A76" s="248" t="s">
        <v>270</v>
      </c>
      <c r="B76" s="256"/>
    </row>
    <row r="77" spans="1:8" s="69" customFormat="1" x14ac:dyDescent="0.15">
      <c r="B77" s="252" t="s">
        <v>452</v>
      </c>
      <c r="C77" s="68" t="s">
        <v>453</v>
      </c>
      <c r="D77" s="68" t="s">
        <v>14</v>
      </c>
      <c r="E77" s="68" t="s">
        <v>454</v>
      </c>
      <c r="F77" s="68" t="s">
        <v>455</v>
      </c>
      <c r="G77" s="68" t="s">
        <v>456</v>
      </c>
      <c r="H77" s="68" t="s">
        <v>457</v>
      </c>
    </row>
    <row r="78" spans="1:8" x14ac:dyDescent="0.15">
      <c r="B78" s="257"/>
      <c r="C78" s="39"/>
      <c r="D78" s="39"/>
      <c r="E78" s="39"/>
      <c r="F78" s="39"/>
      <c r="G78" s="39"/>
      <c r="H78" s="39"/>
    </row>
    <row r="79" spans="1:8" x14ac:dyDescent="0.15">
      <c r="C79" s="39" t="s">
        <v>535</v>
      </c>
      <c r="D79" s="39" t="s">
        <v>536</v>
      </c>
      <c r="F79" s="39" t="s">
        <v>537</v>
      </c>
    </row>
    <row r="80" spans="1:8" x14ac:dyDescent="0.15">
      <c r="F80" s="39" t="s">
        <v>538</v>
      </c>
    </row>
    <row r="81" spans="1:6" x14ac:dyDescent="0.15">
      <c r="F81" s="39" t="s">
        <v>539</v>
      </c>
    </row>
    <row r="83" spans="1:6" s="248" customFormat="1" x14ac:dyDescent="0.15">
      <c r="A83" s="248" t="s">
        <v>540</v>
      </c>
      <c r="B83" s="256"/>
    </row>
    <row r="85" spans="1:6" x14ac:dyDescent="0.15">
      <c r="C85" s="39" t="s">
        <v>541</v>
      </c>
      <c r="F85" s="39" t="s">
        <v>542</v>
      </c>
    </row>
    <row r="87" spans="1:6" x14ac:dyDescent="0.15">
      <c r="C87" s="39" t="s">
        <v>543</v>
      </c>
    </row>
    <row r="88" spans="1:6" x14ac:dyDescent="0.15">
      <c r="C88" s="39" t="s">
        <v>544</v>
      </c>
    </row>
    <row r="92" spans="1:6" x14ac:dyDescent="0.15">
      <c r="B92" s="257" t="s">
        <v>545</v>
      </c>
      <c r="C92" s="39" t="s">
        <v>546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995A-0310-4A98-9540-2D67FE686C2D}">
  <dimension ref="A1:L9"/>
  <sheetViews>
    <sheetView workbookViewId="0">
      <pane xSplit="3" topLeftCell="F1" activePane="topRight" state="frozen"/>
      <selection pane="topRight" activeCell="C13" sqref="C13"/>
    </sheetView>
  </sheetViews>
  <sheetFormatPr baseColWidth="10" defaultColWidth="8.83203125" defaultRowHeight="13" x14ac:dyDescent="0.15"/>
  <cols>
    <col min="1" max="1" width="11.6640625" customWidth="1"/>
    <col min="2" max="2" width="13.5" customWidth="1"/>
    <col min="3" max="3" width="54.83203125" customWidth="1"/>
    <col min="4" max="4" width="31.5" bestFit="1" customWidth="1"/>
    <col min="5" max="5" width="26" bestFit="1" customWidth="1"/>
    <col min="6" max="6" width="32" bestFit="1" customWidth="1"/>
    <col min="7" max="7" width="31.33203125" bestFit="1" customWidth="1"/>
    <col min="8" max="8" width="32" bestFit="1" customWidth="1"/>
    <col min="9" max="9" width="24.5" bestFit="1" customWidth="1"/>
    <col min="10" max="10" width="29" bestFit="1" customWidth="1"/>
    <col min="11" max="11" width="29.1640625" bestFit="1" customWidth="1"/>
    <col min="12" max="12" width="31.5" bestFit="1" customWidth="1"/>
  </cols>
  <sheetData>
    <row r="1" spans="1:12" ht="15" x14ac:dyDescent="0.2">
      <c r="A1" s="162" t="s">
        <v>547</v>
      </c>
      <c r="B1" s="162"/>
      <c r="C1" s="162"/>
      <c r="D1" s="162"/>
      <c r="E1" s="162"/>
      <c r="F1" s="162"/>
      <c r="G1" s="162"/>
      <c r="H1" s="162"/>
      <c r="I1" s="162"/>
      <c r="J1" s="162"/>
      <c r="K1" s="162"/>
      <c r="L1" s="162"/>
    </row>
    <row r="2" spans="1:12" ht="15" customHeight="1" x14ac:dyDescent="0.2">
      <c r="A2" s="164" t="s">
        <v>548</v>
      </c>
      <c r="B2" s="163"/>
      <c r="C2" s="163"/>
      <c r="D2" s="163"/>
      <c r="E2" s="163"/>
      <c r="F2" s="163"/>
      <c r="G2" s="163"/>
      <c r="H2" s="163"/>
      <c r="I2" s="163"/>
      <c r="J2" s="163"/>
      <c r="K2" s="163"/>
      <c r="L2" s="163"/>
    </row>
    <row r="3" spans="1:12" ht="32" x14ac:dyDescent="0.2">
      <c r="A3" s="146" t="s">
        <v>549</v>
      </c>
      <c r="B3" s="147" t="s">
        <v>11</v>
      </c>
      <c r="C3" s="147" t="s">
        <v>550</v>
      </c>
      <c r="D3" s="147" t="s">
        <v>551</v>
      </c>
      <c r="E3" s="147" t="s">
        <v>552</v>
      </c>
      <c r="F3" s="147" t="s">
        <v>553</v>
      </c>
      <c r="G3" s="147" t="s">
        <v>554</v>
      </c>
      <c r="H3" s="147" t="s">
        <v>555</v>
      </c>
      <c r="I3" s="147" t="s">
        <v>556</v>
      </c>
      <c r="J3" s="147" t="s">
        <v>557</v>
      </c>
      <c r="K3" s="147" t="s">
        <v>558</v>
      </c>
      <c r="L3" s="147" t="s">
        <v>559</v>
      </c>
    </row>
    <row r="4" spans="1:12" ht="48" x14ac:dyDescent="0.2">
      <c r="A4" s="148" t="s">
        <v>560</v>
      </c>
      <c r="B4" s="149" t="s">
        <v>561</v>
      </c>
      <c r="C4" s="150" t="s">
        <v>562</v>
      </c>
      <c r="D4" s="151" t="s">
        <v>563</v>
      </c>
      <c r="E4" s="152" t="s">
        <v>564</v>
      </c>
      <c r="F4" s="152" t="s">
        <v>565</v>
      </c>
      <c r="G4" s="152" t="s">
        <v>566</v>
      </c>
      <c r="H4" s="152" t="s">
        <v>567</v>
      </c>
      <c r="I4" s="152" t="s">
        <v>568</v>
      </c>
      <c r="J4" s="151"/>
      <c r="K4" s="153" t="s">
        <v>569</v>
      </c>
      <c r="L4" s="152" t="s">
        <v>570</v>
      </c>
    </row>
    <row r="5" spans="1:12" ht="16" x14ac:dyDescent="0.2">
      <c r="A5" s="275" t="s">
        <v>571</v>
      </c>
      <c r="B5" s="154" t="s">
        <v>84</v>
      </c>
      <c r="C5" s="155" t="s">
        <v>572</v>
      </c>
      <c r="D5" s="151"/>
      <c r="E5" s="156" t="s">
        <v>573</v>
      </c>
      <c r="F5" s="156" t="s">
        <v>574</v>
      </c>
      <c r="G5" s="217" t="s">
        <v>575</v>
      </c>
      <c r="H5" s="217" t="s">
        <v>576</v>
      </c>
      <c r="I5" s="151" t="s">
        <v>563</v>
      </c>
      <c r="J5" s="151" t="s">
        <v>563</v>
      </c>
      <c r="K5" s="151" t="s">
        <v>563</v>
      </c>
      <c r="L5" s="151" t="s">
        <v>563</v>
      </c>
    </row>
    <row r="6" spans="1:12" ht="32" x14ac:dyDescent="0.2">
      <c r="A6" s="275"/>
      <c r="B6" s="154" t="s">
        <v>84</v>
      </c>
      <c r="C6" s="155" t="s">
        <v>577</v>
      </c>
      <c r="D6" s="157" t="s">
        <v>578</v>
      </c>
      <c r="E6" s="157" t="s">
        <v>579</v>
      </c>
      <c r="F6" s="157" t="s">
        <v>580</v>
      </c>
      <c r="G6" s="151" t="s">
        <v>563</v>
      </c>
      <c r="H6" s="157" t="s">
        <v>581</v>
      </c>
      <c r="I6" s="217" t="s">
        <v>582</v>
      </c>
      <c r="J6" s="151" t="s">
        <v>563</v>
      </c>
      <c r="K6" s="151" t="s">
        <v>563</v>
      </c>
      <c r="L6" s="151" t="s">
        <v>563</v>
      </c>
    </row>
    <row r="7" spans="1:12" ht="32" x14ac:dyDescent="0.2">
      <c r="A7" s="276"/>
      <c r="B7" s="154" t="s">
        <v>84</v>
      </c>
      <c r="C7" s="155" t="s">
        <v>583</v>
      </c>
      <c r="D7" s="157" t="s">
        <v>584</v>
      </c>
      <c r="E7" s="157" t="s">
        <v>585</v>
      </c>
      <c r="F7" s="151" t="s">
        <v>563</v>
      </c>
      <c r="G7" s="157" t="s">
        <v>586</v>
      </c>
      <c r="H7" s="157" t="s">
        <v>587</v>
      </c>
      <c r="I7" s="217" t="s">
        <v>588</v>
      </c>
      <c r="J7" s="151" t="s">
        <v>563</v>
      </c>
      <c r="K7" s="151" t="s">
        <v>563</v>
      </c>
      <c r="L7" s="151" t="s">
        <v>563</v>
      </c>
    </row>
    <row r="8" spans="1:12" ht="48" x14ac:dyDescent="0.2">
      <c r="A8" s="277" t="s">
        <v>589</v>
      </c>
      <c r="B8" s="158" t="s">
        <v>590</v>
      </c>
      <c r="C8" s="159" t="s">
        <v>591</v>
      </c>
      <c r="D8" s="151"/>
      <c r="E8" s="160" t="s">
        <v>592</v>
      </c>
      <c r="F8" s="160" t="s">
        <v>593</v>
      </c>
      <c r="G8" s="160" t="s">
        <v>594</v>
      </c>
      <c r="H8" s="160" t="s">
        <v>595</v>
      </c>
      <c r="I8" s="160" t="s">
        <v>596</v>
      </c>
      <c r="J8" s="160" t="s">
        <v>597</v>
      </c>
      <c r="K8" s="160" t="s">
        <v>598</v>
      </c>
      <c r="L8" s="160" t="s">
        <v>599</v>
      </c>
    </row>
    <row r="9" spans="1:12" ht="48" x14ac:dyDescent="0.2">
      <c r="A9" s="278"/>
      <c r="B9" s="161" t="s">
        <v>590</v>
      </c>
      <c r="C9" s="159" t="s">
        <v>600</v>
      </c>
      <c r="D9" s="151"/>
      <c r="E9" s="160" t="s">
        <v>601</v>
      </c>
      <c r="F9" s="160" t="s">
        <v>602</v>
      </c>
      <c r="G9" s="160" t="s">
        <v>603</v>
      </c>
      <c r="H9" s="160" t="s">
        <v>604</v>
      </c>
      <c r="I9" s="160" t="s">
        <v>605</v>
      </c>
      <c r="J9" s="160" t="s">
        <v>606</v>
      </c>
      <c r="K9" s="160" t="s">
        <v>607</v>
      </c>
      <c r="L9" s="160" t="s">
        <v>608</v>
      </c>
    </row>
  </sheetData>
  <mergeCells count="2">
    <mergeCell ref="A5:A7"/>
    <mergeCell ref="A8:A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E9B74-8C9F-3D41-9967-043A8E80C768}">
  <dimension ref="A2:Z139"/>
  <sheetViews>
    <sheetView topLeftCell="A86" workbookViewId="0">
      <selection activeCell="D19" sqref="D19"/>
    </sheetView>
  </sheetViews>
  <sheetFormatPr baseColWidth="10" defaultColWidth="10.83203125" defaultRowHeight="13" x14ac:dyDescent="0.15"/>
  <cols>
    <col min="1" max="1" width="3.5" style="43" customWidth="1"/>
    <col min="2" max="2" width="5.33203125" style="43" customWidth="1"/>
    <col min="3" max="3" width="3.33203125" style="43" customWidth="1"/>
    <col min="4" max="4" width="4.33203125" style="43" customWidth="1"/>
    <col min="5" max="7" width="10.83203125" style="43"/>
    <col min="8" max="8" width="21.33203125" style="43" customWidth="1"/>
    <col min="9" max="9" width="28.5" style="43" customWidth="1"/>
    <col min="10" max="10" width="18.1640625" style="43" customWidth="1"/>
    <col min="11" max="11" width="19.1640625" style="43" customWidth="1"/>
    <col min="12" max="12" width="9.6640625" style="43" customWidth="1"/>
    <col min="13" max="13" width="11.83203125" style="43" customWidth="1"/>
    <col min="14" max="14" width="12.5" style="43" customWidth="1"/>
    <col min="15" max="15" width="18.1640625" style="43" customWidth="1"/>
    <col min="16" max="16" width="10.83203125" style="43" customWidth="1"/>
    <col min="17" max="16384" width="10.83203125" style="43"/>
  </cols>
  <sheetData>
    <row r="2" spans="1:19" x14ac:dyDescent="0.15">
      <c r="P2" s="43" t="s">
        <v>609</v>
      </c>
    </row>
    <row r="3" spans="1:19" x14ac:dyDescent="0.15">
      <c r="P3" s="43" t="s">
        <v>610</v>
      </c>
    </row>
    <row r="4" spans="1:19" x14ac:dyDescent="0.15">
      <c r="P4" s="43" t="s">
        <v>611</v>
      </c>
    </row>
    <row r="5" spans="1:19" x14ac:dyDescent="0.15">
      <c r="P5" s="43" t="s">
        <v>612</v>
      </c>
    </row>
    <row r="6" spans="1:19" x14ac:dyDescent="0.15">
      <c r="P6" s="43" t="s">
        <v>613</v>
      </c>
    </row>
    <row r="7" spans="1:19" x14ac:dyDescent="0.15">
      <c r="P7" s="43" t="s">
        <v>614</v>
      </c>
    </row>
    <row r="8" spans="1:19" x14ac:dyDescent="0.15">
      <c r="P8" s="43" t="s">
        <v>615</v>
      </c>
    </row>
    <row r="9" spans="1:19" x14ac:dyDescent="0.15">
      <c r="P9" s="43" t="s">
        <v>616</v>
      </c>
    </row>
    <row r="11" spans="1:19" x14ac:dyDescent="0.15">
      <c r="A11" s="41"/>
      <c r="B11" s="42" t="s">
        <v>617</v>
      </c>
      <c r="C11" s="41"/>
      <c r="D11" s="41"/>
      <c r="E11" s="41"/>
      <c r="F11" s="41"/>
      <c r="G11" s="41"/>
      <c r="H11" s="41"/>
      <c r="I11" s="41"/>
      <c r="J11" s="42" t="s">
        <v>618</v>
      </c>
      <c r="K11" s="42" t="s">
        <v>619</v>
      </c>
      <c r="L11" s="42" t="s">
        <v>620</v>
      </c>
      <c r="M11" s="42" t="s">
        <v>14</v>
      </c>
      <c r="N11" s="41"/>
      <c r="O11" s="42" t="s">
        <v>621</v>
      </c>
      <c r="P11" s="56"/>
      <c r="Q11" s="42" t="s">
        <v>622</v>
      </c>
      <c r="R11" s="41"/>
      <c r="S11" s="41"/>
    </row>
    <row r="14" spans="1:19" x14ac:dyDescent="0.15">
      <c r="B14" s="44" t="s">
        <v>623</v>
      </c>
      <c r="C14" s="44"/>
      <c r="D14" s="45"/>
      <c r="E14" s="45"/>
      <c r="F14" s="45"/>
      <c r="G14" s="45"/>
      <c r="H14" s="45"/>
      <c r="I14" s="45"/>
      <c r="J14" s="45"/>
      <c r="K14" s="45"/>
      <c r="L14" s="45"/>
      <c r="M14" s="45"/>
      <c r="N14" s="45"/>
      <c r="O14" s="45"/>
      <c r="P14" s="45"/>
      <c r="Q14" s="45"/>
      <c r="R14" s="45"/>
      <c r="S14" s="45"/>
    </row>
    <row r="15" spans="1:19" x14ac:dyDescent="0.15">
      <c r="B15" s="46"/>
      <c r="C15" s="46" t="s">
        <v>624</v>
      </c>
    </row>
    <row r="16" spans="1:19" x14ac:dyDescent="0.15">
      <c r="D16" s="64" t="s">
        <v>625</v>
      </c>
      <c r="J16" s="43" t="s">
        <v>626</v>
      </c>
      <c r="L16" s="53">
        <v>46220</v>
      </c>
      <c r="M16" s="43" t="s">
        <v>33</v>
      </c>
    </row>
    <row r="17" spans="3:17" x14ac:dyDescent="0.15">
      <c r="D17" s="43" t="s">
        <v>627</v>
      </c>
      <c r="J17" s="43" t="s">
        <v>626</v>
      </c>
      <c r="L17" s="53">
        <v>46234</v>
      </c>
      <c r="M17" s="43" t="s">
        <v>75</v>
      </c>
      <c r="O17" s="46" t="s">
        <v>628</v>
      </c>
    </row>
    <row r="18" spans="3:17" x14ac:dyDescent="0.15">
      <c r="D18" s="64" t="s">
        <v>629</v>
      </c>
      <c r="J18" s="43" t="s">
        <v>626</v>
      </c>
      <c r="K18" s="43" t="s">
        <v>630</v>
      </c>
      <c r="L18" s="53">
        <v>46234</v>
      </c>
      <c r="M18" s="43" t="s">
        <v>33</v>
      </c>
    </row>
    <row r="19" spans="3:17" x14ac:dyDescent="0.15">
      <c r="D19" s="43" t="s">
        <v>631</v>
      </c>
      <c r="J19" s="43" t="s">
        <v>632</v>
      </c>
      <c r="L19" s="53">
        <v>46234</v>
      </c>
      <c r="M19" s="43" t="s">
        <v>75</v>
      </c>
    </row>
    <row r="20" spans="3:17" x14ac:dyDescent="0.15">
      <c r="D20" s="57" t="s">
        <v>633</v>
      </c>
      <c r="E20" s="52"/>
      <c r="F20" s="52"/>
      <c r="G20" s="52"/>
      <c r="H20" s="52"/>
      <c r="I20" s="52"/>
      <c r="J20" s="43" t="s">
        <v>634</v>
      </c>
    </row>
    <row r="22" spans="3:17" x14ac:dyDescent="0.15">
      <c r="C22" s="46" t="s">
        <v>635</v>
      </c>
    </row>
    <row r="23" spans="3:17" x14ac:dyDescent="0.15">
      <c r="D23" s="43" t="s">
        <v>636</v>
      </c>
      <c r="J23" s="43" t="s">
        <v>42</v>
      </c>
      <c r="L23" s="53">
        <v>46220</v>
      </c>
      <c r="M23" s="43" t="s">
        <v>33</v>
      </c>
    </row>
    <row r="24" spans="3:17" x14ac:dyDescent="0.15">
      <c r="D24" s="46" t="s">
        <v>637</v>
      </c>
      <c r="E24" s="46"/>
      <c r="J24" s="43" t="s">
        <v>42</v>
      </c>
      <c r="M24" s="43" t="s">
        <v>33</v>
      </c>
      <c r="O24" s="43" t="s">
        <v>638</v>
      </c>
      <c r="Q24" s="43" t="s">
        <v>639</v>
      </c>
    </row>
    <row r="25" spans="3:17" x14ac:dyDescent="0.15">
      <c r="D25" s="43" t="s">
        <v>640</v>
      </c>
      <c r="J25" s="43" t="s">
        <v>42</v>
      </c>
      <c r="M25" s="43" t="s">
        <v>33</v>
      </c>
      <c r="Q25" s="43" t="s">
        <v>641</v>
      </c>
    </row>
    <row r="26" spans="3:17" x14ac:dyDescent="0.15">
      <c r="D26" s="57" t="s">
        <v>642</v>
      </c>
      <c r="J26" s="43" t="s">
        <v>643</v>
      </c>
      <c r="L26" s="53">
        <v>46234</v>
      </c>
      <c r="M26" s="43" t="s">
        <v>33</v>
      </c>
      <c r="Q26" s="43" t="s">
        <v>644</v>
      </c>
    </row>
    <row r="27" spans="3:17" x14ac:dyDescent="0.15">
      <c r="D27" s="43" t="s">
        <v>645</v>
      </c>
      <c r="J27" s="43" t="s">
        <v>42</v>
      </c>
      <c r="K27" s="43" t="s">
        <v>630</v>
      </c>
      <c r="L27" s="53">
        <v>46249</v>
      </c>
      <c r="M27" s="43" t="s">
        <v>75</v>
      </c>
      <c r="Q27" s="43" t="s">
        <v>646</v>
      </c>
    </row>
    <row r="28" spans="3:17" x14ac:dyDescent="0.15">
      <c r="Q28" s="43" t="s">
        <v>647</v>
      </c>
    </row>
    <row r="29" spans="3:17" x14ac:dyDescent="0.15">
      <c r="C29" s="46" t="s">
        <v>648</v>
      </c>
      <c r="F29" s="55"/>
      <c r="J29" s="43" t="s">
        <v>649</v>
      </c>
      <c r="K29" s="43" t="s">
        <v>650</v>
      </c>
      <c r="L29" s="53">
        <v>46241</v>
      </c>
    </row>
    <row r="31" spans="3:17" x14ac:dyDescent="0.15">
      <c r="C31" s="46" t="s">
        <v>651</v>
      </c>
    </row>
    <row r="32" spans="3:17" x14ac:dyDescent="0.15">
      <c r="D32" s="46" t="s">
        <v>652</v>
      </c>
      <c r="E32" s="46"/>
      <c r="J32" s="43" t="s">
        <v>42</v>
      </c>
      <c r="M32" s="43" t="s">
        <v>75</v>
      </c>
      <c r="O32" s="43" t="s">
        <v>653</v>
      </c>
      <c r="Q32" s="43" t="s">
        <v>654</v>
      </c>
    </row>
    <row r="33" spans="2:19" x14ac:dyDescent="0.15">
      <c r="D33" s="46" t="s">
        <v>655</v>
      </c>
      <c r="E33" s="46"/>
      <c r="M33" s="43" t="s">
        <v>75</v>
      </c>
    </row>
    <row r="34" spans="2:19" x14ac:dyDescent="0.15">
      <c r="D34" s="46" t="s">
        <v>656</v>
      </c>
      <c r="E34" s="46"/>
      <c r="M34" s="43" t="s">
        <v>75</v>
      </c>
    </row>
    <row r="36" spans="2:19" x14ac:dyDescent="0.15">
      <c r="B36" s="44" t="s">
        <v>657</v>
      </c>
      <c r="C36" s="44"/>
      <c r="D36" s="45"/>
      <c r="E36" s="45"/>
      <c r="F36" s="45"/>
      <c r="G36" s="45"/>
      <c r="H36" s="45"/>
      <c r="I36" s="45"/>
      <c r="J36" s="45"/>
      <c r="K36" s="45"/>
      <c r="L36" s="45"/>
      <c r="M36" s="45"/>
      <c r="N36" s="45"/>
      <c r="O36" s="45"/>
      <c r="P36" s="45"/>
      <c r="Q36" s="45"/>
      <c r="R36" s="45"/>
      <c r="S36" s="45"/>
    </row>
    <row r="37" spans="2:19" x14ac:dyDescent="0.15">
      <c r="B37" s="46"/>
      <c r="C37" s="46" t="s">
        <v>624</v>
      </c>
    </row>
    <row r="38" spans="2:19" x14ac:dyDescent="0.15">
      <c r="B38" s="46"/>
      <c r="C38" s="46"/>
      <c r="D38" s="47" t="s">
        <v>658</v>
      </c>
      <c r="E38" s="47"/>
    </row>
    <row r="39" spans="2:19" x14ac:dyDescent="0.15">
      <c r="E39" s="46" t="s">
        <v>659</v>
      </c>
      <c r="J39" s="43" t="s">
        <v>660</v>
      </c>
      <c r="L39" s="53">
        <v>46249</v>
      </c>
      <c r="M39" s="43" t="s">
        <v>75</v>
      </c>
      <c r="O39" s="43" t="s">
        <v>661</v>
      </c>
    </row>
    <row r="40" spans="2:19" x14ac:dyDescent="0.15">
      <c r="E40" s="43" t="s">
        <v>662</v>
      </c>
      <c r="J40" s="43" t="s">
        <v>626</v>
      </c>
      <c r="L40" s="53">
        <v>46249</v>
      </c>
      <c r="M40" s="43" t="s">
        <v>75</v>
      </c>
      <c r="O40" s="43" t="s">
        <v>661</v>
      </c>
    </row>
    <row r="41" spans="2:19" x14ac:dyDescent="0.15">
      <c r="E41" s="59" t="s">
        <v>663</v>
      </c>
      <c r="J41" s="43" t="s">
        <v>660</v>
      </c>
      <c r="L41" s="53">
        <v>46249</v>
      </c>
      <c r="M41" s="43" t="s">
        <v>75</v>
      </c>
      <c r="N41" s="43" t="s">
        <v>664</v>
      </c>
      <c r="Q41" s="46" t="s">
        <v>665</v>
      </c>
    </row>
    <row r="42" spans="2:19" x14ac:dyDescent="0.15">
      <c r="E42" s="43" t="s">
        <v>666</v>
      </c>
      <c r="J42" s="43" t="s">
        <v>102</v>
      </c>
      <c r="K42" s="43" t="s">
        <v>667</v>
      </c>
      <c r="L42" s="53">
        <v>46260</v>
      </c>
      <c r="M42" s="43" t="s">
        <v>75</v>
      </c>
      <c r="O42" s="43" t="s">
        <v>668</v>
      </c>
    </row>
    <row r="43" spans="2:19" x14ac:dyDescent="0.15">
      <c r="E43" s="43" t="s">
        <v>669</v>
      </c>
      <c r="J43" s="43" t="s">
        <v>42</v>
      </c>
      <c r="L43" s="53">
        <v>46260</v>
      </c>
      <c r="M43" s="43" t="s">
        <v>75</v>
      </c>
      <c r="N43" s="43" t="s">
        <v>664</v>
      </c>
      <c r="O43" s="43" t="s">
        <v>670</v>
      </c>
      <c r="Q43" s="43" t="s">
        <v>671</v>
      </c>
    </row>
    <row r="44" spans="2:19" x14ac:dyDescent="0.15">
      <c r="L44" s="53"/>
    </row>
    <row r="45" spans="2:19" x14ac:dyDescent="0.15">
      <c r="D45" s="47" t="s">
        <v>413</v>
      </c>
      <c r="E45" s="47"/>
    </row>
    <row r="46" spans="2:19" x14ac:dyDescent="0.15">
      <c r="E46" s="43" t="s">
        <v>672</v>
      </c>
      <c r="J46" s="43" t="s">
        <v>626</v>
      </c>
      <c r="L46" s="53">
        <v>46249</v>
      </c>
      <c r="M46" s="43" t="s">
        <v>75</v>
      </c>
      <c r="O46" s="43" t="s">
        <v>661</v>
      </c>
      <c r="Q46" s="43" t="s">
        <v>673</v>
      </c>
      <c r="S46" s="43" t="s">
        <v>674</v>
      </c>
    </row>
    <row r="47" spans="2:19" ht="14" x14ac:dyDescent="0.2">
      <c r="E47" s="43" t="s">
        <v>675</v>
      </c>
      <c r="J47" s="43" t="s">
        <v>626</v>
      </c>
      <c r="L47" s="53">
        <v>46249</v>
      </c>
      <c r="M47" s="43" t="s">
        <v>75</v>
      </c>
      <c r="Q47" s="48" t="s">
        <v>676</v>
      </c>
    </row>
    <row r="48" spans="2:19" ht="14" x14ac:dyDescent="0.2">
      <c r="Q48" s="48"/>
    </row>
    <row r="49" spans="2:26" ht="14" x14ac:dyDescent="0.2">
      <c r="Q49" s="48"/>
    </row>
    <row r="50" spans="2:26" x14ac:dyDescent="0.15">
      <c r="D50" s="47" t="s">
        <v>677</v>
      </c>
      <c r="E50" s="47"/>
    </row>
    <row r="51" spans="2:26" x14ac:dyDescent="0.15">
      <c r="E51" s="46" t="s">
        <v>678</v>
      </c>
      <c r="J51" s="43" t="s">
        <v>679</v>
      </c>
      <c r="L51" s="43" t="s">
        <v>26</v>
      </c>
      <c r="M51" s="60" t="s">
        <v>680</v>
      </c>
      <c r="O51" s="43" t="s">
        <v>681</v>
      </c>
    </row>
    <row r="52" spans="2:26" x14ac:dyDescent="0.15">
      <c r="E52" s="46" t="s">
        <v>682</v>
      </c>
      <c r="J52" s="43" t="s">
        <v>683</v>
      </c>
      <c r="K52" s="39" t="s">
        <v>684</v>
      </c>
      <c r="L52" s="53">
        <v>46249</v>
      </c>
      <c r="M52" s="43" t="s">
        <v>75</v>
      </c>
      <c r="O52" s="43" t="s">
        <v>661</v>
      </c>
      <c r="Q52" s="43" t="s">
        <v>685</v>
      </c>
    </row>
    <row r="53" spans="2:26" x14ac:dyDescent="0.15">
      <c r="E53" s="46" t="s">
        <v>686</v>
      </c>
      <c r="J53" s="43" t="s">
        <v>42</v>
      </c>
      <c r="K53" s="39" t="s">
        <v>684</v>
      </c>
      <c r="L53" s="53">
        <v>46249</v>
      </c>
      <c r="M53" s="43" t="s">
        <v>75</v>
      </c>
      <c r="O53" s="43" t="s">
        <v>661</v>
      </c>
    </row>
    <row r="55" spans="2:26" x14ac:dyDescent="0.15">
      <c r="C55" s="46" t="s">
        <v>635</v>
      </c>
    </row>
    <row r="56" spans="2:26" x14ac:dyDescent="0.15">
      <c r="B56" s="46"/>
      <c r="C56" s="46"/>
      <c r="D56" s="46" t="s">
        <v>687</v>
      </c>
      <c r="E56" s="46"/>
      <c r="J56" s="43" t="s">
        <v>42</v>
      </c>
      <c r="L56" s="53">
        <v>46249</v>
      </c>
      <c r="M56" s="43" t="s">
        <v>33</v>
      </c>
      <c r="O56" s="43" t="s">
        <v>688</v>
      </c>
      <c r="Q56" s="49" t="s">
        <v>685</v>
      </c>
      <c r="Z56" s="49" t="s">
        <v>689</v>
      </c>
    </row>
    <row r="57" spans="2:26" x14ac:dyDescent="0.15">
      <c r="D57" s="43" t="s">
        <v>690</v>
      </c>
      <c r="J57" s="43" t="s">
        <v>42</v>
      </c>
      <c r="L57" s="53">
        <v>46258</v>
      </c>
      <c r="M57" s="43" t="s">
        <v>75</v>
      </c>
      <c r="O57" s="43" t="s">
        <v>688</v>
      </c>
      <c r="Q57" s="43" t="s">
        <v>691</v>
      </c>
    </row>
    <row r="58" spans="2:26" x14ac:dyDescent="0.15">
      <c r="D58" s="46" t="s">
        <v>692</v>
      </c>
      <c r="E58" s="46"/>
      <c r="J58" s="43" t="s">
        <v>42</v>
      </c>
      <c r="L58" s="53">
        <v>46258</v>
      </c>
      <c r="M58" s="43" t="s">
        <v>75</v>
      </c>
      <c r="O58" s="43" t="s">
        <v>688</v>
      </c>
      <c r="Q58" s="43" t="s">
        <v>693</v>
      </c>
    </row>
    <row r="61" spans="2:26" x14ac:dyDescent="0.15">
      <c r="B61" s="44" t="s">
        <v>694</v>
      </c>
      <c r="C61" s="44"/>
      <c r="D61" s="45"/>
      <c r="E61" s="45"/>
      <c r="F61" s="45"/>
      <c r="G61" s="45"/>
      <c r="H61" s="45"/>
      <c r="I61" s="45"/>
      <c r="J61" s="45"/>
      <c r="K61" s="45"/>
      <c r="L61" s="45"/>
      <c r="M61" s="45"/>
      <c r="N61" s="45"/>
      <c r="O61" s="45"/>
      <c r="P61" s="45"/>
      <c r="Q61" s="45"/>
      <c r="R61" s="45"/>
      <c r="S61" s="45"/>
    </row>
    <row r="62" spans="2:26" x14ac:dyDescent="0.15">
      <c r="C62" s="46" t="s">
        <v>624</v>
      </c>
    </row>
    <row r="63" spans="2:26" x14ac:dyDescent="0.15">
      <c r="D63" s="43" t="s">
        <v>695</v>
      </c>
      <c r="J63" s="43" t="s">
        <v>696</v>
      </c>
      <c r="L63" s="53">
        <v>46225</v>
      </c>
      <c r="M63" s="43" t="s">
        <v>33</v>
      </c>
      <c r="Q63" s="43" t="s">
        <v>697</v>
      </c>
    </row>
    <row r="64" spans="2:26" x14ac:dyDescent="0.15">
      <c r="C64" s="49"/>
      <c r="D64" s="43" t="s">
        <v>698</v>
      </c>
      <c r="J64" s="43" t="s">
        <v>696</v>
      </c>
      <c r="L64" s="53">
        <v>46225</v>
      </c>
      <c r="M64" s="43" t="s">
        <v>33</v>
      </c>
    </row>
    <row r="65" spans="2:26" x14ac:dyDescent="0.15">
      <c r="D65" s="43" t="s">
        <v>699</v>
      </c>
      <c r="J65" s="43" t="s">
        <v>696</v>
      </c>
      <c r="L65" s="53">
        <v>46230</v>
      </c>
      <c r="M65" s="43" t="s">
        <v>33</v>
      </c>
      <c r="Q65" s="49" t="s">
        <v>700</v>
      </c>
    </row>
    <row r="67" spans="2:26" x14ac:dyDescent="0.15">
      <c r="C67" s="46" t="s">
        <v>635</v>
      </c>
    </row>
    <row r="68" spans="2:26" x14ac:dyDescent="0.15">
      <c r="D68" s="43" t="s">
        <v>701</v>
      </c>
      <c r="J68" s="43" t="s">
        <v>696</v>
      </c>
      <c r="L68" s="53">
        <v>46225</v>
      </c>
      <c r="M68" s="43" t="s">
        <v>33</v>
      </c>
      <c r="Q68" s="43" t="s">
        <v>702</v>
      </c>
    </row>
    <row r="70" spans="2:26" x14ac:dyDescent="0.15">
      <c r="C70" s="46" t="s">
        <v>703</v>
      </c>
    </row>
    <row r="71" spans="2:26" x14ac:dyDescent="0.15">
      <c r="D71" s="43" t="s">
        <v>704</v>
      </c>
      <c r="J71" s="43" t="s">
        <v>696</v>
      </c>
      <c r="K71" s="43" t="s">
        <v>705</v>
      </c>
      <c r="L71" s="53">
        <v>46234</v>
      </c>
      <c r="M71" s="43" t="s">
        <v>75</v>
      </c>
      <c r="O71" s="43" t="s">
        <v>706</v>
      </c>
      <c r="Q71" s="49" t="s">
        <v>707</v>
      </c>
    </row>
    <row r="72" spans="2:26" x14ac:dyDescent="0.15">
      <c r="B72" s="49"/>
      <c r="C72" s="49"/>
      <c r="D72" s="43" t="s">
        <v>708</v>
      </c>
      <c r="J72" s="43" t="s">
        <v>696</v>
      </c>
      <c r="L72" s="53">
        <v>46227</v>
      </c>
      <c r="M72" s="43" t="s">
        <v>33</v>
      </c>
    </row>
    <row r="73" spans="2:26" x14ac:dyDescent="0.15">
      <c r="B73" s="49"/>
      <c r="C73" s="49"/>
    </row>
    <row r="74" spans="2:26" x14ac:dyDescent="0.15">
      <c r="B74" s="44" t="s">
        <v>709</v>
      </c>
      <c r="C74" s="44"/>
      <c r="D74" s="45"/>
      <c r="E74" s="45"/>
      <c r="F74" s="45"/>
      <c r="G74" s="45"/>
      <c r="H74" s="45"/>
      <c r="I74" s="45"/>
      <c r="J74" s="45"/>
      <c r="K74" s="45"/>
      <c r="L74" s="45"/>
      <c r="M74" s="45"/>
      <c r="N74" s="45"/>
      <c r="O74" s="45"/>
      <c r="P74" s="45"/>
      <c r="Q74" s="45"/>
      <c r="R74" s="45"/>
      <c r="S74" s="45"/>
    </row>
    <row r="75" spans="2:26" ht="20" customHeight="1" x14ac:dyDescent="0.35">
      <c r="B75" s="50"/>
      <c r="C75" s="46" t="s">
        <v>710</v>
      </c>
    </row>
    <row r="76" spans="2:26" ht="16" customHeight="1" x14ac:dyDescent="0.35">
      <c r="B76" s="50"/>
      <c r="C76" s="46"/>
      <c r="D76" s="43" t="s">
        <v>711</v>
      </c>
      <c r="J76" s="43" t="s">
        <v>712</v>
      </c>
      <c r="L76" s="53">
        <v>46234</v>
      </c>
      <c r="M76" s="43" t="s">
        <v>75</v>
      </c>
      <c r="Q76" s="43" t="s">
        <v>713</v>
      </c>
      <c r="R76" s="49" t="s">
        <v>35</v>
      </c>
      <c r="W76" s="43" t="s">
        <v>714</v>
      </c>
      <c r="X76" s="49" t="s">
        <v>715</v>
      </c>
      <c r="Z76" s="61" t="s">
        <v>716</v>
      </c>
    </row>
    <row r="77" spans="2:26" ht="16" customHeight="1" x14ac:dyDescent="0.35">
      <c r="B77" s="50"/>
      <c r="C77" s="46"/>
      <c r="D77" s="43" t="s">
        <v>717</v>
      </c>
      <c r="J77" s="43" t="s">
        <v>718</v>
      </c>
      <c r="L77" s="53"/>
      <c r="M77" s="43" t="s">
        <v>719</v>
      </c>
      <c r="O77" s="43" t="s">
        <v>720</v>
      </c>
      <c r="Q77" s="43" t="s">
        <v>721</v>
      </c>
      <c r="R77" s="52" t="s">
        <v>722</v>
      </c>
      <c r="T77" s="61"/>
    </row>
    <row r="78" spans="2:26" ht="21" customHeight="1" x14ac:dyDescent="0.35">
      <c r="B78" s="50"/>
      <c r="C78" s="46"/>
      <c r="F78" s="49"/>
    </row>
    <row r="79" spans="2:26" ht="20" customHeight="1" x14ac:dyDescent="0.35">
      <c r="B79" s="50"/>
      <c r="C79" s="46" t="s">
        <v>635</v>
      </c>
    </row>
    <row r="80" spans="2:26" ht="16" x14ac:dyDescent="0.2">
      <c r="C80" s="51"/>
      <c r="D80" s="43" t="s">
        <v>723</v>
      </c>
      <c r="J80" s="43" t="s">
        <v>696</v>
      </c>
      <c r="L80" s="53">
        <v>46241</v>
      </c>
      <c r="M80" s="43" t="s">
        <v>33</v>
      </c>
      <c r="Q80" s="43" t="s">
        <v>721</v>
      </c>
      <c r="R80" s="49" t="s">
        <v>46</v>
      </c>
      <c r="V80" s="43" t="s">
        <v>724</v>
      </c>
    </row>
    <row r="81" spans="2:22" ht="16" x14ac:dyDescent="0.2">
      <c r="C81" s="51"/>
    </row>
    <row r="82" spans="2:22" x14ac:dyDescent="0.15">
      <c r="C82" s="46" t="s">
        <v>725</v>
      </c>
    </row>
    <row r="83" spans="2:22" ht="16" x14ac:dyDescent="0.2">
      <c r="C83" s="51"/>
      <c r="D83" s="43" t="s">
        <v>726</v>
      </c>
      <c r="J83" s="43" t="s">
        <v>696</v>
      </c>
      <c r="L83" s="53">
        <v>46241</v>
      </c>
      <c r="M83" s="43" t="s">
        <v>33</v>
      </c>
      <c r="O83" s="43" t="s">
        <v>727</v>
      </c>
      <c r="Q83" s="43" t="s">
        <v>721</v>
      </c>
      <c r="R83" s="49" t="s">
        <v>728</v>
      </c>
      <c r="S83" s="58"/>
    </row>
    <row r="84" spans="2:22" ht="16" x14ac:dyDescent="0.2">
      <c r="B84" s="46"/>
      <c r="S84" s="58"/>
    </row>
    <row r="85" spans="2:22" x14ac:dyDescent="0.15">
      <c r="C85" s="46" t="s">
        <v>729</v>
      </c>
      <c r="F85" s="55"/>
    </row>
    <row r="86" spans="2:22" ht="14" x14ac:dyDescent="0.2">
      <c r="C86" s="47"/>
      <c r="D86" s="43" t="s">
        <v>730</v>
      </c>
      <c r="E86" s="49"/>
      <c r="J86" s="43" t="s">
        <v>696</v>
      </c>
      <c r="K86" s="43" t="s">
        <v>705</v>
      </c>
      <c r="L86" s="54">
        <v>46230</v>
      </c>
      <c r="M86" s="43" t="s">
        <v>75</v>
      </c>
      <c r="O86" s="43" t="s">
        <v>731</v>
      </c>
      <c r="Q86" s="49" t="s">
        <v>732</v>
      </c>
      <c r="V86" s="48" t="s">
        <v>733</v>
      </c>
    </row>
    <row r="87" spans="2:22" ht="14" x14ac:dyDescent="0.2">
      <c r="C87" s="47"/>
      <c r="D87" s="43" t="s">
        <v>734</v>
      </c>
      <c r="J87" s="43" t="s">
        <v>696</v>
      </c>
      <c r="K87" s="43" t="s">
        <v>705</v>
      </c>
      <c r="L87" s="54">
        <v>46227</v>
      </c>
      <c r="M87" s="43" t="s">
        <v>33</v>
      </c>
      <c r="Q87" s="48" t="s">
        <v>91</v>
      </c>
    </row>
    <row r="89" spans="2:22" x14ac:dyDescent="0.15">
      <c r="B89" s="44" t="s">
        <v>735</v>
      </c>
      <c r="C89" s="44"/>
      <c r="D89" s="45"/>
      <c r="E89" s="45"/>
      <c r="F89" s="45"/>
      <c r="G89" s="45"/>
      <c r="H89" s="45"/>
      <c r="I89" s="45"/>
      <c r="J89" s="45"/>
      <c r="K89" s="45"/>
      <c r="L89" s="45"/>
      <c r="M89" s="45"/>
      <c r="N89" s="45"/>
      <c r="O89" s="45"/>
      <c r="P89" s="45"/>
      <c r="Q89" s="45"/>
      <c r="R89" s="45"/>
      <c r="S89" s="45"/>
    </row>
    <row r="91" spans="2:22" x14ac:dyDescent="0.15">
      <c r="C91" s="46" t="s">
        <v>736</v>
      </c>
    </row>
    <row r="92" spans="2:22" x14ac:dyDescent="0.15">
      <c r="D92" s="43" t="s">
        <v>737</v>
      </c>
      <c r="J92" s="43" t="s">
        <v>239</v>
      </c>
      <c r="K92" s="43" t="s">
        <v>738</v>
      </c>
      <c r="L92" s="53">
        <v>46239</v>
      </c>
      <c r="M92" s="43" t="s">
        <v>719</v>
      </c>
      <c r="Q92" s="43" t="s">
        <v>739</v>
      </c>
    </row>
    <row r="93" spans="2:22" x14ac:dyDescent="0.15">
      <c r="D93" s="59" t="s">
        <v>740</v>
      </c>
      <c r="J93" s="43" t="s">
        <v>239</v>
      </c>
      <c r="K93" s="43" t="s">
        <v>738</v>
      </c>
      <c r="L93" s="53">
        <v>46239</v>
      </c>
      <c r="M93" s="43" t="s">
        <v>719</v>
      </c>
    </row>
    <row r="94" spans="2:22" x14ac:dyDescent="0.15">
      <c r="D94" s="59" t="s">
        <v>741</v>
      </c>
      <c r="E94" s="52"/>
      <c r="F94" s="52"/>
      <c r="G94" s="52"/>
      <c r="H94" s="52"/>
      <c r="J94" s="43" t="s">
        <v>239</v>
      </c>
      <c r="K94" s="43" t="s">
        <v>738</v>
      </c>
      <c r="L94" s="53">
        <v>46239</v>
      </c>
      <c r="M94" s="43" t="s">
        <v>719</v>
      </c>
      <c r="Q94" s="43" t="s">
        <v>742</v>
      </c>
    </row>
    <row r="95" spans="2:22" x14ac:dyDescent="0.15">
      <c r="D95" s="43" t="s">
        <v>743</v>
      </c>
      <c r="J95" s="43" t="s">
        <v>239</v>
      </c>
      <c r="K95" s="43" t="s">
        <v>738</v>
      </c>
      <c r="L95" s="53">
        <v>46239</v>
      </c>
      <c r="M95" s="43" t="s">
        <v>75</v>
      </c>
    </row>
    <row r="97" spans="2:19" x14ac:dyDescent="0.15">
      <c r="C97" s="46" t="s">
        <v>744</v>
      </c>
    </row>
    <row r="98" spans="2:19" x14ac:dyDescent="0.15">
      <c r="D98" s="43" t="s">
        <v>745</v>
      </c>
      <c r="J98" s="43" t="s">
        <v>239</v>
      </c>
      <c r="K98" s="43" t="s">
        <v>738</v>
      </c>
      <c r="L98" s="53">
        <v>46239</v>
      </c>
      <c r="M98" s="43" t="s">
        <v>719</v>
      </c>
    </row>
    <row r="100" spans="2:19" x14ac:dyDescent="0.15">
      <c r="D100" s="43" t="s">
        <v>746</v>
      </c>
      <c r="J100" s="43" t="s">
        <v>747</v>
      </c>
      <c r="K100" s="43" t="s">
        <v>738</v>
      </c>
      <c r="M100" s="43" t="s">
        <v>75</v>
      </c>
    </row>
    <row r="102" spans="2:19" x14ac:dyDescent="0.15">
      <c r="B102" s="44" t="s">
        <v>748</v>
      </c>
      <c r="C102" s="44"/>
      <c r="D102" s="45"/>
      <c r="E102" s="45"/>
      <c r="F102" s="45"/>
      <c r="G102" s="45"/>
      <c r="H102" s="45"/>
      <c r="I102" s="45"/>
      <c r="J102" s="45"/>
      <c r="K102" s="45"/>
      <c r="L102" s="45"/>
      <c r="M102" s="45"/>
      <c r="N102" s="45"/>
      <c r="O102" s="45"/>
      <c r="P102" s="45"/>
      <c r="Q102" s="45"/>
      <c r="R102" s="45"/>
      <c r="S102" s="45"/>
    </row>
    <row r="104" spans="2:19" x14ac:dyDescent="0.15">
      <c r="C104" s="43" t="s">
        <v>749</v>
      </c>
    </row>
    <row r="105" spans="2:19" x14ac:dyDescent="0.15">
      <c r="D105" s="43" t="s">
        <v>750</v>
      </c>
      <c r="J105" s="43" t="s">
        <v>42</v>
      </c>
      <c r="M105" s="43" t="s">
        <v>33</v>
      </c>
    </row>
    <row r="106" spans="2:19" x14ac:dyDescent="0.15">
      <c r="D106" s="43" t="s">
        <v>751</v>
      </c>
      <c r="J106" s="43" t="s">
        <v>239</v>
      </c>
      <c r="M106" s="43" t="s">
        <v>33</v>
      </c>
      <c r="O106" s="43" t="s">
        <v>752</v>
      </c>
    </row>
    <row r="107" spans="2:19" x14ac:dyDescent="0.15">
      <c r="D107" s="43" t="s">
        <v>753</v>
      </c>
      <c r="J107" s="43" t="s">
        <v>239</v>
      </c>
      <c r="M107" s="43" t="s">
        <v>33</v>
      </c>
      <c r="O107" s="43" t="s">
        <v>754</v>
      </c>
    </row>
    <row r="108" spans="2:19" x14ac:dyDescent="0.15">
      <c r="D108" s="43" t="s">
        <v>755</v>
      </c>
      <c r="J108" s="43" t="s">
        <v>239</v>
      </c>
      <c r="M108" s="43" t="s">
        <v>75</v>
      </c>
      <c r="O108" s="43" t="s">
        <v>756</v>
      </c>
    </row>
    <row r="111" spans="2:19" x14ac:dyDescent="0.15">
      <c r="C111" s="43" t="s">
        <v>744</v>
      </c>
    </row>
    <row r="112" spans="2:19" x14ac:dyDescent="0.15">
      <c r="D112" s="43" t="s">
        <v>757</v>
      </c>
      <c r="J112" s="43" t="s">
        <v>758</v>
      </c>
      <c r="M112" s="43" t="s">
        <v>75</v>
      </c>
      <c r="O112" s="43" t="s">
        <v>759</v>
      </c>
    </row>
    <row r="114" spans="3:9" s="63" customFormat="1" x14ac:dyDescent="0.15"/>
    <row r="116" spans="3:9" x14ac:dyDescent="0.15">
      <c r="C116" s="46" t="s">
        <v>760</v>
      </c>
    </row>
    <row r="117" spans="3:9" x14ac:dyDescent="0.15">
      <c r="D117" s="43" t="s">
        <v>761</v>
      </c>
      <c r="I117" s="49" t="s">
        <v>762</v>
      </c>
    </row>
    <row r="119" spans="3:9" x14ac:dyDescent="0.15">
      <c r="D119" s="43" t="s">
        <v>763</v>
      </c>
      <c r="I119" s="49" t="s">
        <v>764</v>
      </c>
    </row>
    <row r="120" spans="3:9" x14ac:dyDescent="0.15">
      <c r="I120" s="49"/>
    </row>
    <row r="121" spans="3:9" x14ac:dyDescent="0.15">
      <c r="D121" s="43" t="s">
        <v>765</v>
      </c>
      <c r="I121" s="49" t="s">
        <v>764</v>
      </c>
    </row>
    <row r="123" spans="3:9" x14ac:dyDescent="0.15">
      <c r="D123" s="43" t="s">
        <v>766</v>
      </c>
      <c r="I123" s="49" t="s">
        <v>767</v>
      </c>
    </row>
    <row r="125" spans="3:9" x14ac:dyDescent="0.15">
      <c r="D125" s="43" t="s">
        <v>768</v>
      </c>
      <c r="I125" s="49" t="s">
        <v>715</v>
      </c>
    </row>
    <row r="126" spans="3:9" x14ac:dyDescent="0.15">
      <c r="D126" s="43" t="s">
        <v>769</v>
      </c>
      <c r="I126" s="49" t="s">
        <v>35</v>
      </c>
    </row>
    <row r="127" spans="3:9" x14ac:dyDescent="0.15">
      <c r="D127" s="43" t="s">
        <v>770</v>
      </c>
      <c r="I127" s="49" t="s">
        <v>46</v>
      </c>
    </row>
    <row r="128" spans="3:9" x14ac:dyDescent="0.15">
      <c r="D128" s="43" t="s">
        <v>771</v>
      </c>
      <c r="I128" s="49" t="s">
        <v>728</v>
      </c>
    </row>
    <row r="131" spans="3:9" x14ac:dyDescent="0.15">
      <c r="C131" s="46" t="s">
        <v>772</v>
      </c>
    </row>
    <row r="133" spans="3:9" x14ac:dyDescent="0.15">
      <c r="D133" s="43" t="s">
        <v>773</v>
      </c>
      <c r="I133" s="49" t="s">
        <v>774</v>
      </c>
    </row>
    <row r="135" spans="3:9" x14ac:dyDescent="0.15">
      <c r="D135" s="43" t="s">
        <v>775</v>
      </c>
      <c r="I135" s="43" t="s">
        <v>776</v>
      </c>
    </row>
    <row r="137" spans="3:9" x14ac:dyDescent="0.15">
      <c r="D137" s="43" t="s">
        <v>777</v>
      </c>
      <c r="I137" s="43" t="s">
        <v>778</v>
      </c>
    </row>
    <row r="139" spans="3:9" x14ac:dyDescent="0.15">
      <c r="D139" s="43" t="s">
        <v>779</v>
      </c>
      <c r="I139" s="43" t="s">
        <v>780</v>
      </c>
    </row>
  </sheetData>
  <conditionalFormatting sqref="M16:M20 M23:M27 L85 M86:M87">
    <cfRule type="containsText" dxfId="189" priority="205" operator="containsText" text="Can Catch Up">
      <formula>NOT(ISERROR(SEARCH("Can Catch Up",L16)))</formula>
    </cfRule>
    <cfRule type="containsText" dxfId="188" priority="206" operator="containsText" text="On Track">
      <formula>NOT(ISERROR(SEARCH("On Track",L16)))</formula>
    </cfRule>
  </conditionalFormatting>
  <conditionalFormatting sqref="M16:M20 M23:M27 M86:M87 L85">
    <cfRule type="containsText" dxfId="187" priority="204" operator="containsText" text="At Risk">
      <formula>NOT(ISERROR(SEARCH("At Risk",L16)))</formula>
    </cfRule>
  </conditionalFormatting>
  <conditionalFormatting sqref="M16:M20 M23:M27">
    <cfRule type="containsText" dxfId="186" priority="125" operator="containsText" text="Complete">
      <formula>NOT(ISERROR(SEARCH("Complete",M16)))</formula>
    </cfRule>
  </conditionalFormatting>
  <conditionalFormatting sqref="M32">
    <cfRule type="containsText" dxfId="185" priority="126" operator="containsText" text="At Risk">
      <formula>NOT(ISERROR(SEARCH("At Risk",M32)))</formula>
    </cfRule>
    <cfRule type="containsText" dxfId="184" priority="127" operator="containsText" text="Can Catch Up">
      <formula>NOT(ISERROR(SEARCH("Can Catch Up",M32)))</formula>
    </cfRule>
    <cfRule type="containsText" dxfId="183" priority="128" operator="containsText" text="On Track">
      <formula>NOT(ISERROR(SEARCH("On Track",M32)))</formula>
    </cfRule>
  </conditionalFormatting>
  <conditionalFormatting sqref="M32:M34">
    <cfRule type="containsText" dxfId="182" priority="117" operator="containsText" text="Complete">
      <formula>NOT(ISERROR(SEARCH("Complete",M32)))</formula>
    </cfRule>
    <cfRule type="containsText" dxfId="181" priority="118" operator="containsText" text="At Risk">
      <formula>NOT(ISERROR(SEARCH("At Risk",M32)))</formula>
    </cfRule>
    <cfRule type="containsText" dxfId="180" priority="119" operator="containsText" text="Can Catch Up">
      <formula>NOT(ISERROR(SEARCH("Can Catch Up",M32)))</formula>
    </cfRule>
    <cfRule type="containsText" dxfId="179" priority="120" operator="containsText" text="On Track">
      <formula>NOT(ISERROR(SEARCH("On Track",M32)))</formula>
    </cfRule>
    <cfRule type="containsText" dxfId="178" priority="198" operator="containsText" text="At Risk">
      <formula>NOT(ISERROR(SEARCH("At Risk",M32)))</formula>
    </cfRule>
    <cfRule type="containsText" dxfId="177" priority="199" operator="containsText" text="Can Catch Up">
      <formula>NOT(ISERROR(SEARCH("Can Catch Up",M32)))</formula>
    </cfRule>
    <cfRule type="containsText" dxfId="176" priority="200" operator="containsText" text="On Track">
      <formula>NOT(ISERROR(SEARCH("On Track",M32)))</formula>
    </cfRule>
  </conditionalFormatting>
  <conditionalFormatting sqref="M39:M43">
    <cfRule type="containsText" dxfId="175" priority="113" operator="containsText" text="Complete">
      <formula>NOT(ISERROR(SEARCH("Complete",M39)))</formula>
    </cfRule>
    <cfRule type="containsText" dxfId="174" priority="114" operator="containsText" text="At Risk">
      <formula>NOT(ISERROR(SEARCH("At Risk",M39)))</formula>
    </cfRule>
    <cfRule type="containsText" dxfId="173" priority="115" operator="containsText" text="Can Catch Up">
      <formula>NOT(ISERROR(SEARCH("Can Catch Up",M39)))</formula>
    </cfRule>
    <cfRule type="containsText" dxfId="172" priority="116" operator="containsText" text="On Track">
      <formula>NOT(ISERROR(SEARCH("On Track",M39)))</formula>
    </cfRule>
    <cfRule type="containsText" dxfId="171" priority="189" operator="containsText" text="At Risk">
      <formula>NOT(ISERROR(SEARCH("At Risk",M39)))</formula>
    </cfRule>
    <cfRule type="containsText" dxfId="170" priority="190" operator="containsText" text="Can Catch Up">
      <formula>NOT(ISERROR(SEARCH("Can Catch Up",M39)))</formula>
    </cfRule>
    <cfRule type="containsText" dxfId="169" priority="191" operator="containsText" text="On Track">
      <formula>NOT(ISERROR(SEARCH("On Track",M39)))</formula>
    </cfRule>
  </conditionalFormatting>
  <conditionalFormatting sqref="M46:M47">
    <cfRule type="containsText" dxfId="168" priority="109" operator="containsText" text="Complete">
      <formula>NOT(ISERROR(SEARCH("Complete",M46)))</formula>
    </cfRule>
    <cfRule type="containsText" dxfId="167" priority="110" operator="containsText" text="At Risk">
      <formula>NOT(ISERROR(SEARCH("At Risk",M46)))</formula>
    </cfRule>
    <cfRule type="containsText" dxfId="166" priority="111" operator="containsText" text="Can Catch Up">
      <formula>NOT(ISERROR(SEARCH("Can Catch Up",M46)))</formula>
    </cfRule>
    <cfRule type="containsText" dxfId="165" priority="112" operator="containsText" text="On Track">
      <formula>NOT(ISERROR(SEARCH("On Track",M46)))</formula>
    </cfRule>
  </conditionalFormatting>
  <conditionalFormatting sqref="M46:M48">
    <cfRule type="containsText" dxfId="164" priority="183" operator="containsText" text="At Risk">
      <formula>NOT(ISERROR(SEARCH("At Risk",M46)))</formula>
    </cfRule>
    <cfRule type="containsText" dxfId="163" priority="184" operator="containsText" text="Can Catch Up">
      <formula>NOT(ISERROR(SEARCH("Can Catch Up",M46)))</formula>
    </cfRule>
    <cfRule type="containsText" dxfId="162" priority="185" operator="containsText" text="On Track">
      <formula>NOT(ISERROR(SEARCH("On Track",M46)))</formula>
    </cfRule>
  </conditionalFormatting>
  <conditionalFormatting sqref="M51:M53">
    <cfRule type="containsText" dxfId="161" priority="174" operator="containsText" text="At Risk">
      <formula>NOT(ISERROR(SEARCH("At Risk",M51)))</formula>
    </cfRule>
    <cfRule type="containsText" dxfId="160" priority="175" operator="containsText" text="Can Catch Up">
      <formula>NOT(ISERROR(SEARCH("Can Catch Up",M51)))</formula>
    </cfRule>
    <cfRule type="containsText" dxfId="159" priority="176" operator="containsText" text="On Track">
      <formula>NOT(ISERROR(SEARCH("On Track",M51)))</formula>
    </cfRule>
  </conditionalFormatting>
  <conditionalFormatting sqref="M56">
    <cfRule type="containsText" dxfId="158" priority="89" operator="containsText" text="Complete">
      <formula>NOT(ISERROR(SEARCH("Complete",M56)))</formula>
    </cfRule>
    <cfRule type="containsText" dxfId="157" priority="90" operator="containsText" text="At Risk">
      <formula>NOT(ISERROR(SEARCH("At Risk",M56)))</formula>
    </cfRule>
    <cfRule type="containsText" dxfId="156" priority="91" operator="containsText" text="Can Catch Up">
      <formula>NOT(ISERROR(SEARCH("Can Catch Up",M56)))</formula>
    </cfRule>
    <cfRule type="containsText" dxfId="155" priority="92" operator="containsText" text="On Track">
      <formula>NOT(ISERROR(SEARCH("On Track",M56)))</formula>
    </cfRule>
  </conditionalFormatting>
  <conditionalFormatting sqref="M56:M58">
    <cfRule type="containsText" dxfId="154" priority="165" operator="containsText" text="At Risk">
      <formula>NOT(ISERROR(SEARCH("At Risk",M56)))</formula>
    </cfRule>
    <cfRule type="containsText" dxfId="153" priority="166" operator="containsText" text="Can Catch Up">
      <formula>NOT(ISERROR(SEARCH("Can Catch Up",M56)))</formula>
    </cfRule>
    <cfRule type="containsText" dxfId="152" priority="167" operator="containsText" text="On Track">
      <formula>NOT(ISERROR(SEARCH("On Track",M56)))</formula>
    </cfRule>
  </conditionalFormatting>
  <conditionalFormatting sqref="M63">
    <cfRule type="containsText" dxfId="151" priority="86" operator="containsText" text="At Risk">
      <formula>NOT(ISERROR(SEARCH("At Risk",M63)))</formula>
    </cfRule>
    <cfRule type="containsText" dxfId="150" priority="87" operator="containsText" text="Can Catch Up">
      <formula>NOT(ISERROR(SEARCH("Can Catch Up",M63)))</formula>
    </cfRule>
    <cfRule type="containsText" dxfId="149" priority="88" operator="containsText" text="On Track">
      <formula>NOT(ISERROR(SEARCH("On Track",M63)))</formula>
    </cfRule>
  </conditionalFormatting>
  <conditionalFormatting sqref="M63:M65">
    <cfRule type="containsText" dxfId="148" priority="75" operator="containsText" text="Complete">
      <formula>NOT(ISERROR(SEARCH("Complete",M63)))</formula>
    </cfRule>
    <cfRule type="containsText" dxfId="147" priority="79" operator="containsText" text="At Risk">
      <formula>NOT(ISERROR(SEARCH("At Risk",M63)))</formula>
    </cfRule>
    <cfRule type="containsText" dxfId="146" priority="80" operator="containsText" text="Can Catch Up">
      <formula>NOT(ISERROR(SEARCH("Can Catch Up",M63)))</formula>
    </cfRule>
    <cfRule type="containsText" dxfId="145" priority="81" operator="containsText" text="On Track">
      <formula>NOT(ISERROR(SEARCH("On Track",M63)))</formula>
    </cfRule>
    <cfRule type="containsText" dxfId="144" priority="162" operator="containsText" text="At Risk">
      <formula>NOT(ISERROR(SEARCH("At Risk",M63)))</formula>
    </cfRule>
    <cfRule type="containsText" dxfId="143" priority="163" operator="containsText" text="Can Catch Up">
      <formula>NOT(ISERROR(SEARCH("Can Catch Up",M63)))</formula>
    </cfRule>
    <cfRule type="containsText" dxfId="142" priority="164" operator="containsText" text="On Track">
      <formula>NOT(ISERROR(SEARCH("On Track",M63)))</formula>
    </cfRule>
  </conditionalFormatting>
  <conditionalFormatting sqref="M64:M65">
    <cfRule type="containsText" dxfId="141" priority="76" operator="containsText" text="At Risk">
      <formula>NOT(ISERROR(SEARCH("At Risk",M64)))</formula>
    </cfRule>
    <cfRule type="containsText" dxfId="140" priority="77" operator="containsText" text="Can Catch Up">
      <formula>NOT(ISERROR(SEARCH("Can Catch Up",M64)))</formula>
    </cfRule>
    <cfRule type="containsText" dxfId="139" priority="78" operator="containsText" text="On Track">
      <formula>NOT(ISERROR(SEARCH("On Track",M64)))</formula>
    </cfRule>
  </conditionalFormatting>
  <conditionalFormatting sqref="M68">
    <cfRule type="containsText" dxfId="138" priority="65" operator="containsText" text="Complete">
      <formula>NOT(ISERROR(SEARCH("Complete",M68)))</formula>
    </cfRule>
    <cfRule type="containsText" dxfId="137" priority="66" operator="containsText" text="At Risk">
      <formula>NOT(ISERROR(SEARCH("At Risk",M68)))</formula>
    </cfRule>
    <cfRule type="containsText" dxfId="136" priority="67" operator="containsText" text="Can Catch Up">
      <formula>NOT(ISERROR(SEARCH("Can Catch Up",M68)))</formula>
    </cfRule>
    <cfRule type="containsText" dxfId="135" priority="68" operator="containsText" text="On Track">
      <formula>NOT(ISERROR(SEARCH("On Track",M68)))</formula>
    </cfRule>
    <cfRule type="containsText" dxfId="134" priority="69" operator="containsText" text="At Risk">
      <formula>NOT(ISERROR(SEARCH("At Risk",M68)))</formula>
    </cfRule>
    <cfRule type="containsText" dxfId="133" priority="70" operator="containsText" text="Can Catch Up">
      <formula>NOT(ISERROR(SEARCH("Can Catch Up",M68)))</formula>
    </cfRule>
    <cfRule type="containsText" dxfId="132" priority="71" operator="containsText" text="On Track">
      <formula>NOT(ISERROR(SEARCH("On Track",M68)))</formula>
    </cfRule>
    <cfRule type="containsText" dxfId="131" priority="72" operator="containsText" text="At Risk">
      <formula>NOT(ISERROR(SEARCH("At Risk",M68)))</formula>
    </cfRule>
    <cfRule type="containsText" dxfId="130" priority="73" operator="containsText" text="Can Catch Up">
      <formula>NOT(ISERROR(SEARCH("Can Catch Up",M68)))</formula>
    </cfRule>
    <cfRule type="containsText" dxfId="129" priority="74" operator="containsText" text="On Track">
      <formula>NOT(ISERROR(SEARCH("On Track",M68)))</formula>
    </cfRule>
    <cfRule type="containsText" dxfId="128" priority="159" operator="containsText" text="At Risk">
      <formula>NOT(ISERROR(SEARCH("At Risk",M68)))</formula>
    </cfRule>
    <cfRule type="containsText" dxfId="127" priority="160" operator="containsText" text="Can Catch Up">
      <formula>NOT(ISERROR(SEARCH("Can Catch Up",M68)))</formula>
    </cfRule>
    <cfRule type="containsText" dxfId="126" priority="161" operator="containsText" text="On Track">
      <formula>NOT(ISERROR(SEARCH("On Track",M68)))</formula>
    </cfRule>
  </conditionalFormatting>
  <conditionalFormatting sqref="M71:M72">
    <cfRule type="containsText" dxfId="125" priority="156" operator="containsText" text="At Risk">
      <formula>NOT(ISERROR(SEARCH("At Risk",M71)))</formula>
    </cfRule>
    <cfRule type="containsText" dxfId="124" priority="157" operator="containsText" text="Can Catch Up">
      <formula>NOT(ISERROR(SEARCH("Can Catch Up",M71)))</formula>
    </cfRule>
    <cfRule type="containsText" dxfId="123" priority="158" operator="containsText" text="On Track">
      <formula>NOT(ISERROR(SEARCH("On Track",M71)))</formula>
    </cfRule>
  </conditionalFormatting>
  <conditionalFormatting sqref="M72">
    <cfRule type="containsText" dxfId="122" priority="36" operator="containsText" text="Complete">
      <formula>NOT(ISERROR(SEARCH("Complete",M72)))</formula>
    </cfRule>
    <cfRule type="containsText" dxfId="121" priority="37" operator="containsText" text="At Risk">
      <formula>NOT(ISERROR(SEARCH("At Risk",M72)))</formula>
    </cfRule>
    <cfRule type="containsText" dxfId="120" priority="38" operator="containsText" text="Can Catch Up">
      <formula>NOT(ISERROR(SEARCH("Can Catch Up",M72)))</formula>
    </cfRule>
    <cfRule type="containsText" dxfId="119" priority="39" operator="containsText" text="On Track">
      <formula>NOT(ISERROR(SEARCH("On Track",M72)))</formula>
    </cfRule>
    <cfRule type="containsText" dxfId="118" priority="40" operator="containsText" text="At Risk">
      <formula>NOT(ISERROR(SEARCH("At Risk",M72)))</formula>
    </cfRule>
    <cfRule type="containsText" dxfId="117" priority="41" operator="containsText" text="Can Catch Up">
      <formula>NOT(ISERROR(SEARCH("Can Catch Up",M72)))</formula>
    </cfRule>
    <cfRule type="containsText" dxfId="116" priority="42" operator="containsText" text="On Track">
      <formula>NOT(ISERROR(SEARCH("On Track",M72)))</formula>
    </cfRule>
    <cfRule type="containsText" dxfId="115" priority="43" operator="containsText" text="At Risk">
      <formula>NOT(ISERROR(SEARCH("At Risk",M72)))</formula>
    </cfRule>
    <cfRule type="containsText" dxfId="114" priority="44" operator="containsText" text="Can Catch Up">
      <formula>NOT(ISERROR(SEARCH("Can Catch Up",M72)))</formula>
    </cfRule>
    <cfRule type="containsText" dxfId="113" priority="45" operator="containsText" text="On Track">
      <formula>NOT(ISERROR(SEARCH("On Track",M72)))</formula>
    </cfRule>
    <cfRule type="containsText" dxfId="112" priority="46" operator="containsText" text="At Risk">
      <formula>NOT(ISERROR(SEARCH("At Risk",M72)))</formula>
    </cfRule>
    <cfRule type="containsText" dxfId="111" priority="47" operator="containsText" text="Can Catch Up">
      <formula>NOT(ISERROR(SEARCH("Can Catch Up",M72)))</formula>
    </cfRule>
    <cfRule type="containsText" dxfId="110" priority="48" operator="containsText" text="On Track">
      <formula>NOT(ISERROR(SEARCH("On Track",M72)))</formula>
    </cfRule>
  </conditionalFormatting>
  <conditionalFormatting sqref="M76:M77">
    <cfRule type="containsText" dxfId="109" priority="153" operator="containsText" text="At Risk">
      <formula>NOT(ISERROR(SEARCH("At Risk",M76)))</formula>
    </cfRule>
    <cfRule type="containsText" dxfId="108" priority="154" operator="containsText" text="Can Catch Up">
      <formula>NOT(ISERROR(SEARCH("Can Catch Up",M76)))</formula>
    </cfRule>
    <cfRule type="containsText" dxfId="107" priority="155" operator="containsText" text="On Track">
      <formula>NOT(ISERROR(SEARCH("On Track",M76)))</formula>
    </cfRule>
  </conditionalFormatting>
  <conditionalFormatting sqref="M77">
    <cfRule type="containsText" dxfId="106" priority="33" operator="containsText" text="At Risk">
      <formula>NOT(ISERROR(SEARCH("At Risk",M77)))</formula>
    </cfRule>
    <cfRule type="containsText" dxfId="105" priority="34" operator="containsText" text="Can Catch Up">
      <formula>NOT(ISERROR(SEARCH("Can Catch Up",M77)))</formula>
    </cfRule>
    <cfRule type="containsText" dxfId="104" priority="35" operator="containsText" text="On Track">
      <formula>NOT(ISERROR(SEARCH("On Track",M77)))</formula>
    </cfRule>
  </conditionalFormatting>
  <conditionalFormatting sqref="M80">
    <cfRule type="containsText" dxfId="103" priority="17" operator="containsText" text="Complete">
      <formula>NOT(ISERROR(SEARCH("Complete",M80)))</formula>
    </cfRule>
    <cfRule type="containsText" dxfId="102" priority="18" operator="containsText" text="At Risk">
      <formula>NOT(ISERROR(SEARCH("At Risk",M80)))</formula>
    </cfRule>
    <cfRule type="containsText" dxfId="101" priority="19" operator="containsText" text="Can Catch Up">
      <formula>NOT(ISERROR(SEARCH("Can Catch Up",M80)))</formula>
    </cfRule>
    <cfRule type="containsText" dxfId="100" priority="20" operator="containsText" text="On Track">
      <formula>NOT(ISERROR(SEARCH("On Track",M80)))</formula>
    </cfRule>
    <cfRule type="containsText" dxfId="99" priority="21" operator="containsText" text="At Risk">
      <formula>NOT(ISERROR(SEARCH("At Risk",M80)))</formula>
    </cfRule>
    <cfRule type="containsText" dxfId="98" priority="22" operator="containsText" text="Can Catch Up">
      <formula>NOT(ISERROR(SEARCH("Can Catch Up",M80)))</formula>
    </cfRule>
    <cfRule type="containsText" dxfId="97" priority="23" operator="containsText" text="On Track">
      <formula>NOT(ISERROR(SEARCH("On Track",M80)))</formula>
    </cfRule>
    <cfRule type="containsText" dxfId="96" priority="24" operator="containsText" text="At Risk">
      <formula>NOT(ISERROR(SEARCH("At Risk",M80)))</formula>
    </cfRule>
    <cfRule type="containsText" dxfId="95" priority="25" operator="containsText" text="Can Catch Up">
      <formula>NOT(ISERROR(SEARCH("Can Catch Up",M80)))</formula>
    </cfRule>
    <cfRule type="containsText" dxfId="94" priority="26" operator="containsText" text="On Track">
      <formula>NOT(ISERROR(SEARCH("On Track",M80)))</formula>
    </cfRule>
    <cfRule type="containsText" dxfId="93" priority="27" operator="containsText" text="At Risk">
      <formula>NOT(ISERROR(SEARCH("At Risk",M80)))</formula>
    </cfRule>
    <cfRule type="containsText" dxfId="92" priority="28" operator="containsText" text="Can Catch Up">
      <formula>NOT(ISERROR(SEARCH("Can Catch Up",M80)))</formula>
    </cfRule>
    <cfRule type="containsText" dxfId="91" priority="29" operator="containsText" text="On Track">
      <formula>NOT(ISERROR(SEARCH("On Track",M80)))</formula>
    </cfRule>
    <cfRule type="containsText" dxfId="90" priority="30" operator="containsText" text="At Risk">
      <formula>NOT(ISERROR(SEARCH("At Risk",M80)))</formula>
    </cfRule>
    <cfRule type="containsText" dxfId="89" priority="31" operator="containsText" text="Can Catch Up">
      <formula>NOT(ISERROR(SEARCH("Can Catch Up",M80)))</formula>
    </cfRule>
    <cfRule type="containsText" dxfId="88" priority="32" operator="containsText" text="On Track">
      <formula>NOT(ISERROR(SEARCH("On Track",M80)))</formula>
    </cfRule>
    <cfRule type="containsText" dxfId="87" priority="150" operator="containsText" text="At Risk">
      <formula>NOT(ISERROR(SEARCH("At Risk",M80)))</formula>
    </cfRule>
    <cfRule type="containsText" dxfId="86" priority="151" operator="containsText" text="Can Catch Up">
      <formula>NOT(ISERROR(SEARCH("Can Catch Up",M80)))</formula>
    </cfRule>
    <cfRule type="containsText" dxfId="85" priority="152" operator="containsText" text="On Track">
      <formula>NOT(ISERROR(SEARCH("On Track",M80)))</formula>
    </cfRule>
  </conditionalFormatting>
  <conditionalFormatting sqref="M83">
    <cfRule type="containsText" dxfId="84" priority="1" operator="containsText" text="Complete">
      <formula>NOT(ISERROR(SEARCH("Complete",M83)))</formula>
    </cfRule>
    <cfRule type="containsText" dxfId="83" priority="2" operator="containsText" text="At Risk">
      <formula>NOT(ISERROR(SEARCH("At Risk",M83)))</formula>
    </cfRule>
    <cfRule type="containsText" dxfId="82" priority="3" operator="containsText" text="Can Catch Up">
      <formula>NOT(ISERROR(SEARCH("Can Catch Up",M83)))</formula>
    </cfRule>
    <cfRule type="containsText" dxfId="81" priority="4" operator="containsText" text="On Track">
      <formula>NOT(ISERROR(SEARCH("On Track",M83)))</formula>
    </cfRule>
    <cfRule type="containsText" dxfId="80" priority="5" operator="containsText" text="At Risk">
      <formula>NOT(ISERROR(SEARCH("At Risk",M83)))</formula>
    </cfRule>
    <cfRule type="containsText" dxfId="79" priority="6" operator="containsText" text="Can Catch Up">
      <formula>NOT(ISERROR(SEARCH("Can Catch Up",M83)))</formula>
    </cfRule>
    <cfRule type="containsText" dxfId="78" priority="7" operator="containsText" text="On Track">
      <formula>NOT(ISERROR(SEARCH("On Track",M83)))</formula>
    </cfRule>
    <cfRule type="containsText" dxfId="77" priority="8" operator="containsText" text="At Risk">
      <formula>NOT(ISERROR(SEARCH("At Risk",M83)))</formula>
    </cfRule>
    <cfRule type="containsText" dxfId="76" priority="9" operator="containsText" text="Can Catch Up">
      <formula>NOT(ISERROR(SEARCH("Can Catch Up",M83)))</formula>
    </cfRule>
    <cfRule type="containsText" dxfId="75" priority="10" operator="containsText" text="On Track">
      <formula>NOT(ISERROR(SEARCH("On Track",M83)))</formula>
    </cfRule>
    <cfRule type="containsText" dxfId="74" priority="11" operator="containsText" text="At Risk">
      <formula>NOT(ISERROR(SEARCH("At Risk",M83)))</formula>
    </cfRule>
    <cfRule type="containsText" dxfId="73" priority="12" operator="containsText" text="Can Catch Up">
      <formula>NOT(ISERROR(SEARCH("Can Catch Up",M83)))</formula>
    </cfRule>
    <cfRule type="containsText" dxfId="72" priority="13" operator="containsText" text="On Track">
      <formula>NOT(ISERROR(SEARCH("On Track",M83)))</formula>
    </cfRule>
    <cfRule type="containsText" dxfId="71" priority="14" operator="containsText" text="At Risk">
      <formula>NOT(ISERROR(SEARCH("At Risk",M83)))</formula>
    </cfRule>
    <cfRule type="containsText" dxfId="70" priority="15" operator="containsText" text="Can Catch Up">
      <formula>NOT(ISERROR(SEARCH("Can Catch Up",M83)))</formula>
    </cfRule>
    <cfRule type="containsText" dxfId="69" priority="16" operator="containsText" text="On Track">
      <formula>NOT(ISERROR(SEARCH("On Track",M83)))</formula>
    </cfRule>
    <cfRule type="containsText" dxfId="68" priority="49" operator="containsText" text="At Risk">
      <formula>NOT(ISERROR(SEARCH("At Risk",M83)))</formula>
    </cfRule>
    <cfRule type="containsText" dxfId="67" priority="50" operator="containsText" text="Can Catch Up">
      <formula>NOT(ISERROR(SEARCH("Can Catch Up",M83)))</formula>
    </cfRule>
    <cfRule type="containsText" dxfId="66" priority="51" operator="containsText" text="On Track">
      <formula>NOT(ISERROR(SEARCH("On Track",M83)))</formula>
    </cfRule>
    <cfRule type="containsText" dxfId="65" priority="147" operator="containsText" text="At Risk">
      <formula>NOT(ISERROR(SEARCH("At Risk",M83)))</formula>
    </cfRule>
    <cfRule type="containsText" dxfId="64" priority="148" operator="containsText" text="Can Catch Up">
      <formula>NOT(ISERROR(SEARCH("Can Catch Up",M83)))</formula>
    </cfRule>
    <cfRule type="containsText" dxfId="63" priority="149" operator="containsText" text="On Track">
      <formula>NOT(ISERROR(SEARCH("On Track",M83)))</formula>
    </cfRule>
  </conditionalFormatting>
  <conditionalFormatting sqref="M86:M87">
    <cfRule type="containsText" dxfId="62" priority="62" operator="containsText" text="At Risk">
      <formula>NOT(ISERROR(SEARCH("At Risk",M86)))</formula>
    </cfRule>
    <cfRule type="containsText" dxfId="61" priority="63" operator="containsText" text="Can Catch Up">
      <formula>NOT(ISERROR(SEARCH("Can Catch Up",M86)))</formula>
    </cfRule>
    <cfRule type="containsText" dxfId="60" priority="64" operator="containsText" text="On Track">
      <formula>NOT(ISERROR(SEARCH("On Track",M86)))</formula>
    </cfRule>
  </conditionalFormatting>
  <conditionalFormatting sqref="M86:M1048576 L85 M1:M27 M80:M81 M83:M84 M30:M78">
    <cfRule type="colorScale" priority="207">
      <colorScale>
        <cfvo type="min"/>
        <cfvo type="percentile" val="50"/>
        <cfvo type="max"/>
        <color rgb="FFF8696B"/>
        <color rgb="FFFFEB84"/>
        <color rgb="FF63BE7B"/>
      </colorScale>
    </cfRule>
  </conditionalFormatting>
  <conditionalFormatting sqref="M87">
    <cfRule type="containsText" dxfId="59" priority="52" operator="containsText" text="Complete">
      <formula>NOT(ISERROR(SEARCH("Complete",M87)))</formula>
    </cfRule>
    <cfRule type="containsText" dxfId="58" priority="53" operator="containsText" text="At Risk">
      <formula>NOT(ISERROR(SEARCH("At Risk",M87)))</formula>
    </cfRule>
    <cfRule type="containsText" dxfId="57" priority="54" operator="containsText" text="Can Catch Up">
      <formula>NOT(ISERROR(SEARCH("Can Catch Up",M87)))</formula>
    </cfRule>
    <cfRule type="containsText" dxfId="56" priority="55" operator="containsText" text="On Track">
      <formula>NOT(ISERROR(SEARCH("On Track",M87)))</formula>
    </cfRule>
    <cfRule type="containsText" dxfId="55" priority="56" operator="containsText" text="At Risk">
      <formula>NOT(ISERROR(SEARCH("At Risk",M87)))</formula>
    </cfRule>
    <cfRule type="containsText" dxfId="54" priority="57" operator="containsText" text="Can Catch Up">
      <formula>NOT(ISERROR(SEARCH("Can Catch Up",M87)))</formula>
    </cfRule>
    <cfRule type="containsText" dxfId="53" priority="58" operator="containsText" text="On Track">
      <formula>NOT(ISERROR(SEARCH("On Track",M87)))</formula>
    </cfRule>
    <cfRule type="containsText" dxfId="52" priority="59" operator="containsText" text="At Risk">
      <formula>NOT(ISERROR(SEARCH("At Risk",M87)))</formula>
    </cfRule>
    <cfRule type="containsText" dxfId="51" priority="60" operator="containsText" text="Can Catch Up">
      <formula>NOT(ISERROR(SEARCH("Can Catch Up",M87)))</formula>
    </cfRule>
    <cfRule type="containsText" dxfId="50" priority="61" operator="containsText" text="On Track">
      <formula>NOT(ISERROR(SEARCH("On Track",M87)))</formula>
    </cfRule>
  </conditionalFormatting>
  <conditionalFormatting sqref="M92:M95">
    <cfRule type="containsText" dxfId="49" priority="138" operator="containsText" text="At Risk">
      <formula>NOT(ISERROR(SEARCH("At Risk",M92)))</formula>
    </cfRule>
    <cfRule type="containsText" dxfId="48" priority="139" operator="containsText" text="Can Catch Up">
      <formula>NOT(ISERROR(SEARCH("Can Catch Up",M92)))</formula>
    </cfRule>
    <cfRule type="containsText" dxfId="47" priority="140" operator="containsText" text="On Track">
      <formula>NOT(ISERROR(SEARCH("On Track",M92)))</formula>
    </cfRule>
  </conditionalFormatting>
  <conditionalFormatting sqref="M98">
    <cfRule type="containsText" dxfId="46" priority="93" operator="containsText" text="At Risk">
      <formula>NOT(ISERROR(SEARCH("At Risk",M98)))</formula>
    </cfRule>
    <cfRule type="containsText" dxfId="45" priority="94" operator="containsText" text="Can Catch Up">
      <formula>NOT(ISERROR(SEARCH("Can Catch Up",M98)))</formula>
    </cfRule>
    <cfRule type="containsText" dxfId="44" priority="95" operator="containsText" text="On Track">
      <formula>NOT(ISERROR(SEARCH("On Track",M98)))</formula>
    </cfRule>
  </conditionalFormatting>
  <conditionalFormatting sqref="M100">
    <cfRule type="containsText" dxfId="43" priority="106" operator="containsText" text="At Risk">
      <formula>NOT(ISERROR(SEARCH("At Risk",M100)))</formula>
    </cfRule>
    <cfRule type="containsText" dxfId="42" priority="107" operator="containsText" text="Can Catch Up">
      <formula>NOT(ISERROR(SEARCH("Can Catch Up",M100)))</formula>
    </cfRule>
    <cfRule type="containsText" dxfId="41" priority="108" operator="containsText" text="On Track">
      <formula>NOT(ISERROR(SEARCH("On Track",M100)))</formula>
    </cfRule>
  </conditionalFormatting>
  <conditionalFormatting sqref="M105:M107">
    <cfRule type="containsText" dxfId="40" priority="102" operator="containsText" text="Complete">
      <formula>NOT(ISERROR(SEARCH("Complete",M105)))</formula>
    </cfRule>
    <cfRule type="containsText" dxfId="39" priority="103" operator="containsText" text="At Risk">
      <formula>NOT(ISERROR(SEARCH("At Risk",M105)))</formula>
    </cfRule>
    <cfRule type="containsText" dxfId="38" priority="104" operator="containsText" text="Can Catch Up">
      <formula>NOT(ISERROR(SEARCH("Can Catch Up",M105)))</formula>
    </cfRule>
    <cfRule type="containsText" dxfId="37" priority="105" operator="containsText" text="On Track">
      <formula>NOT(ISERROR(SEARCH("On Track",M105)))</formula>
    </cfRule>
  </conditionalFormatting>
  <conditionalFormatting sqref="M108">
    <cfRule type="containsText" dxfId="36" priority="99" operator="containsText" text="At Risk">
      <formula>NOT(ISERROR(SEARCH("At Risk",M108)))</formula>
    </cfRule>
    <cfRule type="containsText" dxfId="35" priority="100" operator="containsText" text="Can Catch Up">
      <formula>NOT(ISERROR(SEARCH("Can Catch Up",M108)))</formula>
    </cfRule>
    <cfRule type="containsText" dxfId="34" priority="101" operator="containsText" text="On Track">
      <formula>NOT(ISERROR(SEARCH("On Track",M108)))</formula>
    </cfRule>
  </conditionalFormatting>
  <conditionalFormatting sqref="M112">
    <cfRule type="containsText" dxfId="33" priority="96" operator="containsText" text="At Risk">
      <formula>NOT(ISERROR(SEARCH("At Risk",M112)))</formula>
    </cfRule>
    <cfRule type="containsText" dxfId="32" priority="97" operator="containsText" text="Can Catch Up">
      <formula>NOT(ISERROR(SEARCH("Can Catch Up",M112)))</formula>
    </cfRule>
    <cfRule type="containsText" dxfId="31" priority="98" operator="containsText" text="On Track">
      <formula>NOT(ISERROR(SEARCH("On Track",M112)))</formula>
    </cfRule>
  </conditionalFormatting>
  <dataValidations count="3">
    <dataValidation type="list" allowBlank="1" showInputMessage="1" showErrorMessage="1" sqref="M73 M35 M92:M95 M57:M60 M86 M66:M67 M69:M71 L85 M15 M21:M22 M30:M31 M37:M38 M44:M45 M112 M100 M108 M48:M50 M98 M52:M55 M62 M76:M77" xr:uid="{59666EF5-A668-DE44-B04F-89DB163DE6EE}">
      <formula1>"On Track, Can Catch Up, At Risk"</formula1>
    </dataValidation>
    <dataValidation type="list" allowBlank="1" showInputMessage="1" showErrorMessage="1" sqref="M32:M34 M72 M46:M47 M16:M20 M83 M105:M107 M56 M63:M65 M68 M87 M23:M27 M80 M39:M43" xr:uid="{23A687D6-6F12-BD42-A459-85A5F4ADD82A}">
      <formula1>"On Track, Can Catch Up, At Risk, Complete"</formula1>
    </dataValidation>
    <dataValidation type="list" allowBlank="1" showInputMessage="1" showErrorMessage="1" sqref="M51" xr:uid="{F77F088F-569C-2347-B7C1-933BB4BBB8B9}">
      <formula1>"On Track, Can Catch Up, At Risk, Addressed"</formula1>
    </dataValidation>
  </dataValidations>
  <hyperlinks>
    <hyperlink ref="X76" r:id="rId1" xr:uid="{532668EB-03ED-CF42-9C41-C5246DD7F140}"/>
    <hyperlink ref="Q56" r:id="rId2" xr:uid="{D82B2C92-3177-E34C-9215-5FFAEA70298C}"/>
    <hyperlink ref="Q86" r:id="rId3" xr:uid="{4B8F671D-4C69-47CF-9EFD-E18643C949F9}"/>
    <hyperlink ref="R80" r:id="rId4" xr:uid="{23DF98C2-1CC6-48AE-85D5-F0963D45D0D4}"/>
    <hyperlink ref="I117" r:id="rId5" xr:uid="{35235F19-C8B5-0A46-B91E-C6DC57FDBAEE}"/>
    <hyperlink ref="I119" r:id="rId6" xr:uid="{897769DC-C6EF-314D-8564-A3B88E2E1FB9}"/>
    <hyperlink ref="I123" r:id="rId7" display="https://nvidia.sharepoint.com/:p:/r/sites/Kumo/Shared Documents/Internal Presentations/NVIDIA_KUMO_AIQ_Intro_Jun10.pptx?d=w3ec018a77e1e4e85a1fbfa9b408e5706&amp;csf=1&amp;web=1&amp;e=oSEA8K" xr:uid="{ADB5CEA4-D153-BB41-8602-A0B40978E922}"/>
    <hyperlink ref="I133" r:id="rId8" xr:uid="{6558E3C2-489E-144B-8F95-7DC2DF5077CD}"/>
    <hyperlink ref="I125" r:id="rId9" xr:uid="{D6DFD709-3F15-9A4C-A95C-892031D5922F}"/>
    <hyperlink ref="I127" r:id="rId10" xr:uid="{37EA06E3-BAD5-AB4A-B846-A83F594F0F24}"/>
    <hyperlink ref="I126" r:id="rId11" xr:uid="{DFA6B6C3-B3AC-954C-8C34-8B2F7A5C8913}"/>
    <hyperlink ref="Z56" r:id="rId12" xr:uid="{3BC6F8A1-EE07-46D5-BCA6-08CFBA45E8AD}"/>
    <hyperlink ref="Q71" r:id="rId13" xr:uid="{238172E6-25CB-4C14-B46C-8E5F7D2FBB77}"/>
    <hyperlink ref="R83" r:id="rId14" xr:uid="{D1BD8ABE-B56C-41BA-95E3-C7D9F4D18A47}"/>
    <hyperlink ref="I128" r:id="rId15" xr:uid="{8DFD2F6A-DA26-4EBA-9006-00B0DF1C5F8F}"/>
    <hyperlink ref="R76" r:id="rId16" xr:uid="{08E5CB13-1F0C-4348-A413-EFD3E4AA2771}"/>
    <hyperlink ref="Q65" r:id="rId17" xr:uid="{5B3AEACF-14E6-48E4-BA81-7AF237CC741D}"/>
    <hyperlink ref="I121" r:id="rId18" xr:uid="{89D1D69B-7501-41C8-B2D4-B03C30E59310}"/>
  </hyperlink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49"/>
  <sheetViews>
    <sheetView workbookViewId="0">
      <selection activeCell="G21" sqref="G21"/>
    </sheetView>
  </sheetViews>
  <sheetFormatPr baseColWidth="10" defaultColWidth="12.5" defaultRowHeight="15.75" customHeight="1" x14ac:dyDescent="0.15"/>
  <cols>
    <col min="1" max="1" width="26.1640625" customWidth="1"/>
    <col min="2" max="2" width="85.5" customWidth="1"/>
    <col min="3" max="3" width="36" customWidth="1"/>
    <col min="4" max="4" width="17" customWidth="1"/>
    <col min="5" max="5" width="15.1640625" customWidth="1"/>
    <col min="6" max="6" width="48.5" customWidth="1"/>
    <col min="7" max="7" width="31.5" customWidth="1"/>
    <col min="8" max="8" width="21.5" customWidth="1"/>
  </cols>
  <sheetData>
    <row r="1" spans="1:10" ht="22.5" customHeight="1" x14ac:dyDescent="0.15">
      <c r="B1" s="11" t="s">
        <v>781</v>
      </c>
    </row>
    <row r="2" spans="1:10" ht="18.75" customHeight="1" x14ac:dyDescent="0.15">
      <c r="A2" s="13"/>
      <c r="B2" s="12"/>
      <c r="C2" s="13"/>
      <c r="D2" s="13"/>
      <c r="E2" s="13"/>
      <c r="F2" s="13"/>
      <c r="G2" s="13"/>
      <c r="H2" s="13"/>
      <c r="I2" s="13"/>
    </row>
    <row r="3" spans="1:10" ht="124.5" customHeight="1" x14ac:dyDescent="0.25">
      <c r="B3" s="10" t="s">
        <v>782</v>
      </c>
      <c r="D3" s="14"/>
    </row>
    <row r="4" spans="1:10" ht="15.75" customHeight="1" x14ac:dyDescent="0.15">
      <c r="A4" s="13"/>
      <c r="B4" s="12"/>
      <c r="C4" s="13"/>
      <c r="D4" s="13"/>
      <c r="E4" s="13"/>
      <c r="F4" s="13"/>
      <c r="G4" s="13"/>
      <c r="H4" s="13"/>
      <c r="I4" s="13"/>
    </row>
    <row r="6" spans="1:10" s="30" customFormat="1" ht="22.5" customHeight="1" x14ac:dyDescent="0.15">
      <c r="A6" s="26" t="s">
        <v>783</v>
      </c>
      <c r="B6" s="27" t="s">
        <v>784</v>
      </c>
      <c r="C6" s="27" t="s">
        <v>550</v>
      </c>
      <c r="D6" s="28" t="s">
        <v>785</v>
      </c>
      <c r="E6" s="28" t="s">
        <v>786</v>
      </c>
      <c r="F6" s="27" t="s">
        <v>787</v>
      </c>
      <c r="G6" s="27" t="s">
        <v>14</v>
      </c>
      <c r="H6" s="27" t="s">
        <v>788</v>
      </c>
      <c r="I6" s="27" t="s">
        <v>622</v>
      </c>
      <c r="J6" s="29" t="s">
        <v>789</v>
      </c>
    </row>
    <row r="7" spans="1:10" ht="22.5" customHeight="1" x14ac:dyDescent="0.15">
      <c r="B7" s="19" t="s">
        <v>790</v>
      </c>
      <c r="C7" s="1"/>
      <c r="D7" s="3"/>
      <c r="E7" s="3"/>
      <c r="H7" s="3"/>
    </row>
    <row r="8" spans="1:10" ht="22.5" customHeight="1" x14ac:dyDescent="0.15">
      <c r="B8" s="21" t="s">
        <v>791</v>
      </c>
      <c r="C8" s="1"/>
      <c r="D8" s="3"/>
      <c r="E8" s="3"/>
      <c r="F8" s="3"/>
      <c r="H8" s="3"/>
    </row>
    <row r="9" spans="1:10" ht="22.5" customHeight="1" x14ac:dyDescent="0.15">
      <c r="B9" s="19" t="s">
        <v>792</v>
      </c>
      <c r="C9" s="1"/>
      <c r="D9" s="3"/>
      <c r="E9" s="3"/>
      <c r="F9" s="3" t="s">
        <v>793</v>
      </c>
      <c r="H9" s="3"/>
    </row>
    <row r="10" spans="1:10" ht="22.5" customHeight="1" x14ac:dyDescent="0.15">
      <c r="B10" s="62" t="s">
        <v>794</v>
      </c>
      <c r="C10" s="1"/>
      <c r="D10" s="3"/>
      <c r="E10" s="3"/>
      <c r="F10" s="3"/>
      <c r="G10" t="s">
        <v>252</v>
      </c>
      <c r="H10" s="3"/>
    </row>
    <row r="11" spans="1:10" ht="22.5" customHeight="1" x14ac:dyDescent="0.15">
      <c r="B11" s="21" t="s">
        <v>795</v>
      </c>
      <c r="C11" s="1"/>
      <c r="D11" s="3"/>
      <c r="E11" s="3"/>
      <c r="F11" s="3"/>
      <c r="G11" t="s">
        <v>252</v>
      </c>
      <c r="H11" s="3"/>
    </row>
    <row r="12" spans="1:10" ht="22.5" customHeight="1" x14ac:dyDescent="0.15">
      <c r="B12" s="62" t="s">
        <v>796</v>
      </c>
      <c r="C12" s="1"/>
      <c r="D12" s="3"/>
      <c r="E12" s="3"/>
      <c r="F12" s="3"/>
      <c r="G12" t="s">
        <v>252</v>
      </c>
      <c r="H12" s="3"/>
    </row>
    <row r="13" spans="1:10" ht="22.5" customHeight="1" x14ac:dyDescent="0.15">
      <c r="B13" s="21" t="s">
        <v>797</v>
      </c>
      <c r="C13" s="1"/>
      <c r="D13" s="3"/>
      <c r="E13" s="3"/>
      <c r="F13" s="3"/>
      <c r="G13" t="s">
        <v>252</v>
      </c>
      <c r="H13" s="3"/>
    </row>
    <row r="14" spans="1:10" ht="22.5" customHeight="1" x14ac:dyDescent="0.15">
      <c r="B14" s="19" t="s">
        <v>798</v>
      </c>
      <c r="C14" s="1"/>
      <c r="D14" s="3"/>
      <c r="E14" s="3"/>
      <c r="F14" s="3" t="s">
        <v>799</v>
      </c>
      <c r="H14" s="3"/>
    </row>
    <row r="15" spans="1:10" ht="22.5" customHeight="1" x14ac:dyDescent="0.15">
      <c r="B15" s="21" t="s">
        <v>800</v>
      </c>
      <c r="C15" s="1"/>
      <c r="D15" s="3"/>
      <c r="E15" s="3"/>
      <c r="F15" s="3"/>
      <c r="G15" t="s">
        <v>252</v>
      </c>
      <c r="H15" s="3"/>
    </row>
    <row r="16" spans="1:10" ht="22.5" customHeight="1" x14ac:dyDescent="0.15">
      <c r="B16" s="21" t="s">
        <v>801</v>
      </c>
      <c r="C16" s="1"/>
      <c r="D16" s="3"/>
      <c r="E16" s="3"/>
      <c r="F16" s="3"/>
      <c r="G16" t="s">
        <v>252</v>
      </c>
      <c r="H16" s="3"/>
    </row>
    <row r="17" spans="2:8" ht="22.5" customHeight="1" x14ac:dyDescent="0.15">
      <c r="B17" s="21" t="s">
        <v>802</v>
      </c>
      <c r="C17" s="1"/>
      <c r="D17" s="3"/>
      <c r="E17" s="3"/>
      <c r="F17" s="3"/>
      <c r="G17" t="s">
        <v>252</v>
      </c>
      <c r="H17" s="3"/>
    </row>
    <row r="18" spans="2:8" ht="22.5" customHeight="1" x14ac:dyDescent="0.15">
      <c r="B18" s="21" t="s">
        <v>803</v>
      </c>
      <c r="C18" s="1"/>
      <c r="D18" s="3"/>
      <c r="E18" s="3"/>
      <c r="F18" s="3"/>
      <c r="H18" s="3"/>
    </row>
    <row r="19" spans="2:8" ht="22.5" customHeight="1" x14ac:dyDescent="0.15">
      <c r="B19" s="21" t="s">
        <v>804</v>
      </c>
      <c r="C19" s="1"/>
      <c r="D19" s="3"/>
      <c r="E19" s="3"/>
      <c r="F19" s="3"/>
      <c r="G19" t="s">
        <v>252</v>
      </c>
      <c r="H19" s="3"/>
    </row>
    <row r="20" spans="2:8" ht="22.5" customHeight="1" x14ac:dyDescent="0.15">
      <c r="B20" s="19" t="s">
        <v>805</v>
      </c>
      <c r="C20" s="1"/>
      <c r="D20" s="3"/>
      <c r="E20" s="3"/>
      <c r="F20" s="3" t="s">
        <v>806</v>
      </c>
      <c r="H20" s="3"/>
    </row>
    <row r="21" spans="2:8" ht="15.75" customHeight="1" x14ac:dyDescent="0.15">
      <c r="B21" s="3" t="s">
        <v>807</v>
      </c>
      <c r="C21" s="1"/>
      <c r="D21" s="3"/>
      <c r="E21" s="3"/>
      <c r="F21" s="3"/>
      <c r="G21" t="s">
        <v>252</v>
      </c>
      <c r="H21" s="3"/>
    </row>
    <row r="22" spans="2:8" ht="20.25" customHeight="1" x14ac:dyDescent="0.15">
      <c r="B22" s="3" t="s">
        <v>808</v>
      </c>
      <c r="C22" s="1"/>
      <c r="D22" s="3"/>
      <c r="E22" s="3"/>
      <c r="F22" s="3"/>
      <c r="G22" t="s">
        <v>252</v>
      </c>
      <c r="H22" s="3"/>
    </row>
    <row r="23" spans="2:8" ht="19.5" customHeight="1" x14ac:dyDescent="0.15">
      <c r="B23" s="3" t="s">
        <v>809</v>
      </c>
      <c r="C23" s="1"/>
      <c r="D23" s="3"/>
      <c r="E23" s="3"/>
      <c r="F23" s="3"/>
      <c r="G23" t="s">
        <v>252</v>
      </c>
      <c r="H23" s="3"/>
    </row>
    <row r="24" spans="2:8" ht="21.75" customHeight="1" x14ac:dyDescent="0.15">
      <c r="B24" s="3" t="s">
        <v>810</v>
      </c>
      <c r="C24" s="1"/>
      <c r="D24" s="3"/>
      <c r="E24" s="3"/>
      <c r="F24" s="3"/>
      <c r="G24" t="s">
        <v>252</v>
      </c>
      <c r="H24" s="3"/>
    </row>
    <row r="25" spans="2:8" ht="20.25" customHeight="1" x14ac:dyDescent="0.15">
      <c r="B25" s="3" t="s">
        <v>811</v>
      </c>
      <c r="C25" s="1"/>
      <c r="D25" s="3"/>
      <c r="E25" s="3"/>
      <c r="F25" s="3"/>
      <c r="G25" t="s">
        <v>812</v>
      </c>
      <c r="H25" s="3"/>
    </row>
    <row r="26" spans="2:8" ht="30" customHeight="1" x14ac:dyDescent="0.15">
      <c r="B26" s="19" t="s">
        <v>522</v>
      </c>
      <c r="C26" s="1"/>
      <c r="D26" s="3" t="s">
        <v>813</v>
      </c>
      <c r="E26" s="3"/>
      <c r="F26" s="3" t="s">
        <v>814</v>
      </c>
      <c r="H26" s="3"/>
    </row>
    <row r="27" spans="2:8" ht="27" customHeight="1" x14ac:dyDescent="0.15">
      <c r="B27" s="3" t="s">
        <v>815</v>
      </c>
      <c r="C27" s="1"/>
      <c r="D27" s="3"/>
      <c r="E27" s="3"/>
      <c r="F27" s="3"/>
      <c r="H27" s="3"/>
    </row>
    <row r="28" spans="2:8" ht="19.5" customHeight="1" x14ac:dyDescent="0.15">
      <c r="B28" s="3" t="s">
        <v>816</v>
      </c>
      <c r="C28" s="1"/>
      <c r="D28" s="3"/>
      <c r="E28" s="3"/>
      <c r="F28" s="3"/>
      <c r="G28" t="s">
        <v>812</v>
      </c>
      <c r="H28" s="3"/>
    </row>
    <row r="29" spans="2:8" ht="27.75" customHeight="1" x14ac:dyDescent="0.15">
      <c r="B29" s="19" t="s">
        <v>817</v>
      </c>
      <c r="C29" s="1"/>
      <c r="D29" s="3"/>
      <c r="E29" s="3"/>
      <c r="F29" s="3" t="s">
        <v>814</v>
      </c>
      <c r="H29" s="3"/>
    </row>
    <row r="30" spans="2:8" ht="19.5" customHeight="1" x14ac:dyDescent="0.15">
      <c r="B30" s="3" t="s">
        <v>818</v>
      </c>
      <c r="C30" s="1"/>
      <c r="D30" s="3" t="s">
        <v>32</v>
      </c>
      <c r="E30" s="3"/>
      <c r="F30" s="3"/>
      <c r="G30" t="s">
        <v>7</v>
      </c>
      <c r="H30" s="3"/>
    </row>
    <row r="31" spans="2:8" ht="19.5" customHeight="1" x14ac:dyDescent="0.15">
      <c r="B31" s="3" t="s">
        <v>819</v>
      </c>
      <c r="C31" s="1"/>
      <c r="D31" s="3" t="s">
        <v>32</v>
      </c>
      <c r="E31" s="3"/>
      <c r="F31" s="3"/>
      <c r="G31" t="s">
        <v>7</v>
      </c>
      <c r="H31" s="3"/>
    </row>
    <row r="32" spans="2:8" ht="21.75" customHeight="1" x14ac:dyDescent="0.15">
      <c r="B32" s="6" t="s">
        <v>820</v>
      </c>
      <c r="C32" s="5"/>
      <c r="D32" s="3"/>
      <c r="E32" s="6"/>
      <c r="F32" s="6"/>
      <c r="G32" t="s">
        <v>7</v>
      </c>
      <c r="H32" s="6"/>
    </row>
    <row r="33" spans="1:10" ht="19.5" customHeight="1" x14ac:dyDescent="0.15">
      <c r="B33" s="3" t="s">
        <v>821</v>
      </c>
      <c r="C33" s="5"/>
      <c r="E33" s="6"/>
      <c r="F33" s="6"/>
      <c r="H33" s="6"/>
    </row>
    <row r="34" spans="1:10" ht="15.75" customHeight="1" x14ac:dyDescent="0.15">
      <c r="B34" s="19" t="s">
        <v>822</v>
      </c>
      <c r="C34" s="5"/>
      <c r="E34" s="6"/>
      <c r="F34" s="6"/>
      <c r="H34" s="6"/>
    </row>
    <row r="35" spans="1:10" ht="15.75" customHeight="1" x14ac:dyDescent="0.15">
      <c r="B35" s="62" t="s">
        <v>823</v>
      </c>
      <c r="C35" s="5"/>
      <c r="E35" s="6"/>
      <c r="F35" s="6"/>
      <c r="G35" t="s">
        <v>812</v>
      </c>
      <c r="H35" s="6"/>
    </row>
    <row r="36" spans="1:10" ht="21" customHeight="1" x14ac:dyDescent="0.15">
      <c r="B36" s="62" t="s">
        <v>824</v>
      </c>
      <c r="C36" s="5"/>
      <c r="E36" s="6"/>
      <c r="F36" s="6"/>
      <c r="G36" t="s">
        <v>812</v>
      </c>
      <c r="H36" s="6"/>
    </row>
    <row r="37" spans="1:10" ht="32.25" customHeight="1" x14ac:dyDescent="0.15">
      <c r="B37" s="62" t="s">
        <v>825</v>
      </c>
      <c r="C37" s="5"/>
      <c r="E37" s="6"/>
      <c r="F37" s="6"/>
      <c r="G37" t="s">
        <v>812</v>
      </c>
      <c r="H37" s="6"/>
    </row>
    <row r="38" spans="1:10" ht="15.75" customHeight="1" x14ac:dyDescent="0.15">
      <c r="B38" s="24"/>
      <c r="C38" s="24"/>
      <c r="D38" s="22"/>
      <c r="E38" s="25"/>
      <c r="F38" s="25"/>
      <c r="G38" s="24"/>
      <c r="H38" s="24"/>
    </row>
    <row r="39" spans="1:10" ht="15.75" customHeight="1" x14ac:dyDescent="0.15">
      <c r="B39" s="3"/>
      <c r="C39" s="1"/>
      <c r="D39" s="3"/>
      <c r="E39" s="3"/>
      <c r="F39" s="1"/>
      <c r="G39" s="3"/>
      <c r="H39" s="3"/>
    </row>
    <row r="40" spans="1:10" ht="15.75" customHeight="1" x14ac:dyDescent="0.15">
      <c r="A40" s="23" t="s">
        <v>826</v>
      </c>
      <c r="B40" s="24"/>
      <c r="C40" s="24"/>
      <c r="D40" s="22"/>
      <c r="E40" s="25"/>
      <c r="F40" s="25"/>
      <c r="G40" s="24"/>
      <c r="H40" s="24"/>
      <c r="I40" s="25"/>
      <c r="J40" s="22"/>
    </row>
    <row r="41" spans="1:10" ht="15.75" customHeight="1" x14ac:dyDescent="0.15">
      <c r="B41" t="s">
        <v>827</v>
      </c>
      <c r="C41" s="1"/>
      <c r="E41" s="3"/>
      <c r="F41" s="3"/>
      <c r="G41" s="1"/>
      <c r="H41" s="1"/>
    </row>
    <row r="42" spans="1:10" ht="15.75" customHeight="1" x14ac:dyDescent="0.15">
      <c r="A42" s="23" t="s">
        <v>828</v>
      </c>
      <c r="B42" t="s">
        <v>829</v>
      </c>
      <c r="C42" s="1"/>
      <c r="E42" s="3"/>
      <c r="F42" s="3"/>
      <c r="G42" s="1"/>
      <c r="H42" s="1"/>
      <c r="I42" s="25"/>
      <c r="J42" s="22"/>
    </row>
    <row r="43" spans="1:10" ht="15.75" customHeight="1" x14ac:dyDescent="0.15">
      <c r="A43" s="279" t="s">
        <v>830</v>
      </c>
      <c r="B43" t="s">
        <v>744</v>
      </c>
      <c r="C43" s="1"/>
      <c r="E43" s="3"/>
      <c r="F43" s="3"/>
      <c r="G43" s="1"/>
      <c r="H43" s="1"/>
      <c r="I43" s="3"/>
    </row>
    <row r="44" spans="1:10" ht="15.75" customHeight="1" x14ac:dyDescent="0.15">
      <c r="A44" s="279"/>
      <c r="C44" s="1"/>
      <c r="E44" s="3"/>
      <c r="F44" s="3"/>
      <c r="G44" s="1"/>
      <c r="H44" s="1"/>
      <c r="I44" s="3"/>
    </row>
    <row r="45" spans="1:10" ht="15.75" customHeight="1" x14ac:dyDescent="0.15">
      <c r="A45" s="279"/>
      <c r="I45" s="3"/>
    </row>
    <row r="46" spans="1:10" ht="15.75" customHeight="1" x14ac:dyDescent="0.15">
      <c r="A46" s="279"/>
      <c r="I46" s="3"/>
    </row>
    <row r="47" spans="1:10" ht="15.75" customHeight="1" x14ac:dyDescent="0.15">
      <c r="A47" s="279"/>
      <c r="B47" s="24"/>
      <c r="C47" s="24"/>
      <c r="D47" s="22"/>
      <c r="E47" s="25"/>
      <c r="F47" s="25"/>
      <c r="G47" s="24"/>
      <c r="H47" s="24"/>
    </row>
    <row r="48" spans="1:10" ht="73.5" customHeight="1" x14ac:dyDescent="0.15">
      <c r="A48" s="279"/>
    </row>
    <row r="49" spans="1:10" ht="15.75" customHeight="1" x14ac:dyDescent="0.15">
      <c r="A49" s="23" t="s">
        <v>831</v>
      </c>
      <c r="I49" s="25"/>
      <c r="J49" s="22"/>
    </row>
  </sheetData>
  <mergeCells count="1">
    <mergeCell ref="A43:A48"/>
  </mergeCells>
  <dataValidations count="3">
    <dataValidation allowBlank="1" showDropDown="1" sqref="E39 G39:H39 F40:F44 F47 B47 H47 I49 H40:H44 I42:I46 I40 E7:E37 H7:H38 B7:B44 F8:F38" xr:uid="{00000000-0002-0000-0200-000002000000}"/>
    <dataValidation type="list" allowBlank="1" showErrorMessage="1" sqref="G38 F39 G40:G44 G47" xr:uid="{00000000-0002-0000-0200-000001000000}">
      <formula1>"Not Started,In Progress,Complete"</formula1>
    </dataValidation>
    <dataValidation type="list" allowBlank="1" sqref="C7:C47" xr:uid="{00000000-0002-0000-0200-000000000000}">
      <formula1>"Post-V0 Internal Release,NIM container implementation,build.nvidia release,UX/documentation,Distribution pathway"</formula1>
    </dataValidation>
  </dataValidations>
  <pageMargins left="0" right="0" top="0" bottom="0" header="0" footer="0"/>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4"/>
  <sheetViews>
    <sheetView workbookViewId="0">
      <selection activeCell="E20" sqref="E20"/>
    </sheetView>
  </sheetViews>
  <sheetFormatPr baseColWidth="10" defaultColWidth="12.5" defaultRowHeight="15.75" customHeight="1" x14ac:dyDescent="0.15"/>
  <cols>
    <col min="1" max="1" width="17.33203125" customWidth="1"/>
    <col min="2" max="2" width="57.6640625" customWidth="1"/>
    <col min="3" max="3" width="16" customWidth="1"/>
    <col min="4" max="4" width="14.83203125" customWidth="1"/>
    <col min="5" max="5" width="21" customWidth="1"/>
    <col min="6" max="6" width="15.1640625" customWidth="1"/>
    <col min="7" max="7" width="48.5" customWidth="1"/>
    <col min="8" max="8" width="31.5" customWidth="1"/>
    <col min="9" max="9" width="21.5" customWidth="1"/>
  </cols>
  <sheetData>
    <row r="1" spans="1:10" ht="15.75" customHeight="1" x14ac:dyDescent="0.15">
      <c r="B1" s="11" t="s">
        <v>781</v>
      </c>
    </row>
    <row r="2" spans="1:10" ht="21.75" customHeight="1" x14ac:dyDescent="0.15">
      <c r="A2" s="13"/>
      <c r="B2" s="12"/>
      <c r="C2" s="13"/>
      <c r="D2" s="13"/>
      <c r="E2" s="13"/>
      <c r="F2" s="13"/>
      <c r="G2" s="13"/>
      <c r="H2" s="13"/>
      <c r="I2" s="13"/>
      <c r="J2" s="13"/>
    </row>
    <row r="3" spans="1:10" ht="29.25" customHeight="1" x14ac:dyDescent="0.2">
      <c r="B3" s="9" t="s">
        <v>832</v>
      </c>
    </row>
    <row r="4" spans="1:10" ht="15.75" customHeight="1" x14ac:dyDescent="0.15">
      <c r="A4" s="13"/>
      <c r="B4" s="12"/>
      <c r="C4" s="13"/>
      <c r="D4" s="13"/>
      <c r="E4" s="13"/>
      <c r="F4" s="13"/>
      <c r="G4" s="13"/>
      <c r="H4" s="13"/>
      <c r="I4" s="13"/>
      <c r="J4" s="13"/>
    </row>
    <row r="6" spans="1:10" s="26" customFormat="1" ht="22.5" customHeight="1" x14ac:dyDescent="0.15">
      <c r="A6" s="26" t="s">
        <v>783</v>
      </c>
      <c r="B6" s="27" t="s">
        <v>784</v>
      </c>
      <c r="C6" s="27" t="s">
        <v>550</v>
      </c>
      <c r="D6" s="28" t="s">
        <v>785</v>
      </c>
      <c r="E6" s="28" t="s">
        <v>786</v>
      </c>
      <c r="F6" s="27" t="s">
        <v>787</v>
      </c>
      <c r="G6" s="27" t="s">
        <v>14</v>
      </c>
      <c r="H6" s="27" t="s">
        <v>788</v>
      </c>
      <c r="I6" s="27" t="s">
        <v>622</v>
      </c>
    </row>
    <row r="7" spans="1:10" ht="22.5" customHeight="1" x14ac:dyDescent="0.15">
      <c r="B7" s="16" t="s">
        <v>833</v>
      </c>
      <c r="C7" s="1"/>
      <c r="D7" s="17"/>
      <c r="E7" s="3"/>
      <c r="F7" s="3"/>
      <c r="G7" s="17"/>
      <c r="H7" s="1"/>
      <c r="I7" s="3"/>
    </row>
    <row r="8" spans="1:10" ht="22.5" customHeight="1" x14ac:dyDescent="0.15">
      <c r="B8" s="1" t="s">
        <v>834</v>
      </c>
      <c r="C8" s="17" t="s">
        <v>833</v>
      </c>
      <c r="D8" s="3" t="s">
        <v>835</v>
      </c>
      <c r="E8" s="3"/>
      <c r="F8" s="3"/>
      <c r="G8" s="1" t="s">
        <v>836</v>
      </c>
      <c r="H8" s="1"/>
      <c r="I8" s="3"/>
    </row>
    <row r="9" spans="1:10" ht="22.5" customHeight="1" x14ac:dyDescent="0.15">
      <c r="B9" s="1" t="s">
        <v>837</v>
      </c>
      <c r="C9" s="17" t="s">
        <v>833</v>
      </c>
      <c r="D9" s="3" t="s">
        <v>838</v>
      </c>
      <c r="E9" s="3"/>
      <c r="F9" s="3"/>
      <c r="G9" s="1" t="s">
        <v>836</v>
      </c>
      <c r="H9" s="1"/>
      <c r="I9" s="3"/>
    </row>
    <row r="10" spans="1:10" ht="22.5" customHeight="1" x14ac:dyDescent="0.15">
      <c r="B10" s="1" t="s">
        <v>839</v>
      </c>
      <c r="C10" s="17" t="s">
        <v>833</v>
      </c>
      <c r="D10" s="3" t="s">
        <v>840</v>
      </c>
      <c r="E10" s="3"/>
      <c r="F10" s="3"/>
      <c r="G10" s="1" t="s">
        <v>836</v>
      </c>
      <c r="H10" s="3"/>
      <c r="I10" s="3"/>
    </row>
    <row r="11" spans="1:10" ht="22.5" customHeight="1" x14ac:dyDescent="0.15">
      <c r="B11" s="1" t="s">
        <v>841</v>
      </c>
      <c r="C11" s="17" t="s">
        <v>833</v>
      </c>
      <c r="D11" s="3" t="s">
        <v>840</v>
      </c>
      <c r="E11" s="3"/>
      <c r="F11" s="3"/>
      <c r="G11" s="1" t="s">
        <v>836</v>
      </c>
      <c r="H11" s="1"/>
      <c r="I11" s="3"/>
    </row>
    <row r="12" spans="1:10" ht="22.5" customHeight="1" x14ac:dyDescent="0.15">
      <c r="B12" s="18" t="s">
        <v>842</v>
      </c>
      <c r="C12" s="1"/>
      <c r="D12" s="3"/>
      <c r="E12" s="3"/>
      <c r="F12" s="3"/>
      <c r="G12" s="1"/>
      <c r="H12" s="1"/>
      <c r="I12" s="3"/>
    </row>
    <row r="13" spans="1:10" ht="22.5" customHeight="1" x14ac:dyDescent="0.15">
      <c r="B13" s="1" t="s">
        <v>843</v>
      </c>
      <c r="C13" s="1" t="s">
        <v>842</v>
      </c>
      <c r="D13" s="3" t="s">
        <v>844</v>
      </c>
      <c r="E13" s="3"/>
      <c r="F13" s="3"/>
      <c r="G13" s="1" t="s">
        <v>836</v>
      </c>
      <c r="H13" s="1"/>
      <c r="I13" s="3"/>
    </row>
    <row r="14" spans="1:10" ht="22.5" customHeight="1" x14ac:dyDescent="0.15">
      <c r="B14" s="1" t="s">
        <v>845</v>
      </c>
      <c r="C14" s="1" t="s">
        <v>842</v>
      </c>
      <c r="D14" s="3" t="s">
        <v>846</v>
      </c>
      <c r="E14" s="3"/>
      <c r="F14" s="3"/>
      <c r="G14" s="1" t="s">
        <v>836</v>
      </c>
      <c r="H14" s="1"/>
      <c r="I14" s="3"/>
    </row>
    <row r="15" spans="1:10" ht="22.5" customHeight="1" x14ac:dyDescent="0.15">
      <c r="B15" s="3" t="s">
        <v>847</v>
      </c>
      <c r="C15" s="1" t="s">
        <v>842</v>
      </c>
      <c r="D15" s="3" t="s">
        <v>848</v>
      </c>
      <c r="E15" s="3"/>
      <c r="F15" s="3"/>
      <c r="G15" s="1" t="s">
        <v>836</v>
      </c>
      <c r="H15" s="1"/>
      <c r="I15" s="3"/>
    </row>
    <row r="16" spans="1:10" ht="22.5" customHeight="1" x14ac:dyDescent="0.15">
      <c r="B16" s="19" t="s">
        <v>849</v>
      </c>
      <c r="C16" s="1"/>
      <c r="D16" s="3"/>
      <c r="E16" s="3"/>
      <c r="F16" s="3"/>
      <c r="G16" s="1"/>
      <c r="H16" s="1"/>
      <c r="I16" s="3"/>
    </row>
    <row r="17" spans="2:9" ht="20.25" customHeight="1" x14ac:dyDescent="0.15">
      <c r="B17" s="1" t="s">
        <v>850</v>
      </c>
      <c r="C17" s="1" t="s">
        <v>849</v>
      </c>
      <c r="D17" s="3" t="s">
        <v>205</v>
      </c>
      <c r="E17" s="3"/>
      <c r="F17" s="3"/>
      <c r="G17" s="1" t="s">
        <v>33</v>
      </c>
      <c r="H17" s="3"/>
      <c r="I17" s="3"/>
    </row>
    <row r="18" spans="2:9" ht="21" customHeight="1" x14ac:dyDescent="0.15">
      <c r="B18" s="1"/>
      <c r="C18" s="1"/>
      <c r="D18" s="3"/>
      <c r="E18" s="3"/>
      <c r="F18" s="3"/>
      <c r="G18" s="1"/>
      <c r="H18" s="1"/>
      <c r="I18" s="3"/>
    </row>
    <row r="19" spans="2:9" ht="20.25" customHeight="1" x14ac:dyDescent="0.15">
      <c r="B19" s="6"/>
      <c r="C19" s="1"/>
      <c r="D19" s="17"/>
      <c r="E19" s="17"/>
      <c r="F19" s="6"/>
      <c r="G19" s="5"/>
      <c r="H19" s="6"/>
      <c r="I19" s="6"/>
    </row>
    <row r="20" spans="2:9" ht="22.5" customHeight="1" x14ac:dyDescent="0.15">
      <c r="B20" s="3"/>
      <c r="C20" s="1"/>
      <c r="D20" s="3"/>
      <c r="E20" s="3"/>
      <c r="F20" s="3"/>
      <c r="G20" s="1"/>
      <c r="H20" s="6"/>
      <c r="I20" s="3"/>
    </row>
    <row r="21" spans="2:9" ht="22.5" customHeight="1" x14ac:dyDescent="0.15">
      <c r="B21" s="18" t="s">
        <v>851</v>
      </c>
      <c r="C21" s="1"/>
      <c r="D21" s="3"/>
      <c r="E21" s="3"/>
      <c r="F21" s="3"/>
      <c r="G21" s="1"/>
      <c r="H21" s="3"/>
      <c r="I21" s="3"/>
    </row>
    <row r="22" spans="2:9" ht="19.5" customHeight="1" x14ac:dyDescent="0.15">
      <c r="B22" s="6" t="s">
        <v>852</v>
      </c>
      <c r="C22" s="5" t="s">
        <v>851</v>
      </c>
      <c r="D22" s="17" t="s">
        <v>853</v>
      </c>
      <c r="E22" s="17"/>
      <c r="F22" s="6"/>
      <c r="G22" s="5" t="s">
        <v>33</v>
      </c>
      <c r="H22" s="40" t="s">
        <v>854</v>
      </c>
      <c r="I22" s="6"/>
    </row>
    <row r="23" spans="2:9" ht="22.5" customHeight="1" x14ac:dyDescent="0.15">
      <c r="B23" s="6" t="s">
        <v>855</v>
      </c>
      <c r="C23" s="5" t="s">
        <v>851</v>
      </c>
      <c r="D23" s="17" t="s">
        <v>205</v>
      </c>
      <c r="E23" s="3"/>
      <c r="F23" s="6"/>
      <c r="G23" s="5" t="s">
        <v>33</v>
      </c>
      <c r="H23" s="40" t="s">
        <v>854</v>
      </c>
      <c r="I23" s="6"/>
    </row>
    <row r="24" spans="2:9" ht="22.5" customHeight="1" x14ac:dyDescent="0.15">
      <c r="B24" s="6" t="s">
        <v>856</v>
      </c>
      <c r="C24" s="5" t="s">
        <v>851</v>
      </c>
      <c r="D24" s="17" t="s">
        <v>205</v>
      </c>
      <c r="E24" s="17"/>
      <c r="F24" s="6"/>
      <c r="G24" s="5" t="s">
        <v>33</v>
      </c>
      <c r="H24" s="40" t="s">
        <v>854</v>
      </c>
      <c r="I24" s="6"/>
    </row>
    <row r="25" spans="2:9" ht="22.5" customHeight="1" x14ac:dyDescent="0.15">
      <c r="B25" s="20" t="s">
        <v>522</v>
      </c>
      <c r="C25" s="5"/>
      <c r="D25" s="17"/>
      <c r="E25" s="3"/>
      <c r="F25" s="6"/>
      <c r="G25" s="5"/>
      <c r="H25" s="6"/>
      <c r="I25" s="6"/>
    </row>
    <row r="26" spans="2:9" ht="20.25" customHeight="1" x14ac:dyDescent="0.15">
      <c r="B26" s="3" t="s">
        <v>857</v>
      </c>
      <c r="C26" s="1" t="s">
        <v>522</v>
      </c>
      <c r="D26" s="3" t="s">
        <v>844</v>
      </c>
      <c r="E26" s="3"/>
      <c r="F26" s="3"/>
      <c r="G26" s="1" t="s">
        <v>836</v>
      </c>
      <c r="H26" s="3"/>
      <c r="I26" s="3"/>
    </row>
    <row r="27" spans="2:9" ht="19.5" customHeight="1" x14ac:dyDescent="0.15">
      <c r="B27" s="6" t="s">
        <v>858</v>
      </c>
      <c r="C27" s="1" t="s">
        <v>522</v>
      </c>
      <c r="D27" s="3" t="s">
        <v>848</v>
      </c>
      <c r="E27" s="3"/>
      <c r="F27" s="6"/>
      <c r="G27" s="5" t="s">
        <v>836</v>
      </c>
      <c r="H27" s="6"/>
      <c r="I27" s="6"/>
    </row>
    <row r="28" spans="2:9" ht="20.25" customHeight="1" x14ac:dyDescent="0.15">
      <c r="B28" s="6" t="s">
        <v>859</v>
      </c>
      <c r="C28" s="1" t="s">
        <v>522</v>
      </c>
      <c r="D28" s="3" t="s">
        <v>860</v>
      </c>
      <c r="E28" s="3"/>
      <c r="F28" s="6"/>
      <c r="G28" s="5" t="s">
        <v>836</v>
      </c>
      <c r="H28" s="6"/>
      <c r="I28" s="6"/>
    </row>
    <row r="29" spans="2:9" ht="19.5" customHeight="1" x14ac:dyDescent="0.15">
      <c r="B29" s="3" t="s">
        <v>861</v>
      </c>
      <c r="C29" s="1" t="s">
        <v>522</v>
      </c>
      <c r="D29" s="3" t="s">
        <v>848</v>
      </c>
      <c r="E29" s="3"/>
      <c r="F29" s="3"/>
      <c r="G29" s="1" t="s">
        <v>836</v>
      </c>
      <c r="H29" s="3"/>
      <c r="I29" s="3"/>
    </row>
    <row r="30" spans="2:9" ht="21" customHeight="1" x14ac:dyDescent="0.15">
      <c r="B30" s="3" t="s">
        <v>862</v>
      </c>
      <c r="C30" s="1" t="s">
        <v>522</v>
      </c>
      <c r="D30" s="3" t="s">
        <v>844</v>
      </c>
      <c r="E30" s="3"/>
      <c r="F30" s="3"/>
      <c r="G30" s="1" t="s">
        <v>836</v>
      </c>
      <c r="H30" s="3"/>
      <c r="I30" s="3"/>
    </row>
    <row r="31" spans="2:9" ht="21" customHeight="1" x14ac:dyDescent="0.15">
      <c r="B31" s="19" t="s">
        <v>817</v>
      </c>
      <c r="C31" s="1"/>
      <c r="D31" s="3"/>
      <c r="E31" s="3"/>
      <c r="F31" s="3"/>
      <c r="G31" s="1"/>
      <c r="H31" s="3"/>
      <c r="I31" s="3"/>
    </row>
    <row r="32" spans="2:9" ht="20.25" customHeight="1" x14ac:dyDescent="0.15">
      <c r="B32" s="3" t="s">
        <v>863</v>
      </c>
      <c r="C32" s="1" t="s">
        <v>817</v>
      </c>
      <c r="D32" s="3" t="s">
        <v>205</v>
      </c>
      <c r="E32" s="3"/>
      <c r="F32" s="3"/>
      <c r="G32" s="1" t="s">
        <v>33</v>
      </c>
      <c r="H32" s="3"/>
      <c r="I32" s="3"/>
    </row>
    <row r="33" spans="1:10" ht="20.25" customHeight="1" x14ac:dyDescent="0.15">
      <c r="B33" s="3" t="s">
        <v>864</v>
      </c>
      <c r="C33" s="1" t="s">
        <v>817</v>
      </c>
      <c r="D33" s="3"/>
      <c r="E33" s="3"/>
      <c r="F33" s="3"/>
      <c r="G33" s="1"/>
      <c r="H33" s="3"/>
      <c r="I33" s="3"/>
    </row>
    <row r="34" spans="1:10" ht="19.5" customHeight="1" x14ac:dyDescent="0.15">
      <c r="B34" s="3" t="s">
        <v>865</v>
      </c>
      <c r="C34" s="1" t="s">
        <v>817</v>
      </c>
      <c r="D34" s="3"/>
      <c r="E34" s="3"/>
      <c r="F34" s="3"/>
      <c r="G34" s="1"/>
      <c r="H34" s="6"/>
      <c r="I34" s="3"/>
    </row>
    <row r="35" spans="1:10" ht="15.75" customHeight="1" x14ac:dyDescent="0.15">
      <c r="B35" s="3" t="s">
        <v>866</v>
      </c>
      <c r="C35" s="1" t="s">
        <v>817</v>
      </c>
      <c r="D35" s="3"/>
      <c r="E35" s="3"/>
      <c r="F35" s="3"/>
      <c r="G35" s="1"/>
      <c r="H35" s="3"/>
      <c r="I35" s="3"/>
    </row>
    <row r="36" spans="1:10" ht="15.75" customHeight="1" x14ac:dyDescent="0.15">
      <c r="B36" s="3" t="s">
        <v>867</v>
      </c>
      <c r="C36" s="1" t="s">
        <v>817</v>
      </c>
      <c r="D36" s="3"/>
      <c r="E36" s="3"/>
      <c r="F36" s="3"/>
      <c r="G36" s="1"/>
      <c r="H36" s="3"/>
      <c r="I36" s="3"/>
    </row>
    <row r="37" spans="1:10" ht="15.75" customHeight="1" x14ac:dyDescent="0.15">
      <c r="A37" s="23" t="s">
        <v>868</v>
      </c>
      <c r="B37" s="3" t="s">
        <v>869</v>
      </c>
      <c r="C37" s="1" t="s">
        <v>817</v>
      </c>
      <c r="D37" s="3"/>
      <c r="E37" s="3"/>
      <c r="F37" s="3"/>
      <c r="G37" s="1"/>
      <c r="H37" s="3"/>
      <c r="I37" s="3"/>
      <c r="J37" s="22"/>
    </row>
    <row r="38" spans="1:10" ht="15.75" customHeight="1" x14ac:dyDescent="0.15">
      <c r="B38" s="24"/>
      <c r="C38" s="24"/>
      <c r="D38" s="22"/>
      <c r="E38" s="25"/>
      <c r="F38" s="25"/>
      <c r="G38" s="24"/>
      <c r="H38" s="24"/>
      <c r="I38" s="25"/>
    </row>
    <row r="40" spans="1:10" ht="15.75" customHeight="1" x14ac:dyDescent="0.15">
      <c r="A40" s="23" t="s">
        <v>870</v>
      </c>
      <c r="J40" s="22"/>
    </row>
    <row r="41" spans="1:10" ht="15.75" customHeight="1" x14ac:dyDescent="0.15">
      <c r="B41" s="24"/>
      <c r="C41" s="24"/>
      <c r="D41" s="22"/>
      <c r="E41" s="25"/>
      <c r="F41" s="25"/>
      <c r="G41" s="24"/>
      <c r="H41" s="24"/>
      <c r="I41" s="25"/>
    </row>
    <row r="43" spans="1:10" ht="15.75" customHeight="1" x14ac:dyDescent="0.15">
      <c r="A43" s="23" t="s">
        <v>871</v>
      </c>
      <c r="J43" s="22"/>
    </row>
    <row r="44" spans="1:10" ht="15.75" customHeight="1" x14ac:dyDescent="0.15">
      <c r="B44" s="24"/>
      <c r="C44" s="24"/>
      <c r="D44" s="22"/>
      <c r="E44" s="25"/>
      <c r="F44" s="25"/>
      <c r="G44" s="24"/>
      <c r="H44" s="24"/>
      <c r="I44" s="25"/>
    </row>
  </sheetData>
  <dataValidations count="3">
    <dataValidation type="list" allowBlank="1" sqref="C7 C41 C44 C12:C38" xr:uid="{00000000-0002-0000-0100-000000000000}">
      <formula1>"Post-V0 Internal Release,NIM container implementation,build.nvidia release,UX/documentation,Distribution pathway"</formula1>
    </dataValidation>
    <dataValidation allowBlank="1" showDropDown="1" sqref="B44 H41:I41 F41 B41 H44:I44 F44 H25:H38 H7:H21 I7:I38 F7:F38 B8:B38" xr:uid="{00000000-0002-0000-0100-000002000000}"/>
    <dataValidation type="list" allowBlank="1" showErrorMessage="1" sqref="G41 G44 G8:G38" xr:uid="{00000000-0002-0000-0100-000001000000}">
      <formula1>"Not Started,In Progress,Complete"</formula1>
    </dataValidation>
  </dataValidations>
  <pageMargins left="0" right="0" top="0" bottom="0" header="0" footer="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8902-074A-4B67-B122-6CD2CF6FBE9A}">
  <dimension ref="A2:E6"/>
  <sheetViews>
    <sheetView workbookViewId="0"/>
  </sheetViews>
  <sheetFormatPr baseColWidth="10" defaultRowHeight="13" x14ac:dyDescent="0.15"/>
  <cols>
    <col min="1" max="1" width="37.5" customWidth="1"/>
  </cols>
  <sheetData>
    <row r="2" spans="1:5" x14ac:dyDescent="0.15">
      <c r="A2" s="11" t="s">
        <v>1235</v>
      </c>
      <c r="B2" s="11" t="s">
        <v>620</v>
      </c>
      <c r="C2" s="11" t="s">
        <v>1236</v>
      </c>
      <c r="D2" s="11" t="s">
        <v>294</v>
      </c>
      <c r="E2" s="11" t="s">
        <v>622</v>
      </c>
    </row>
    <row r="3" spans="1:5" x14ac:dyDescent="0.15">
      <c r="A3" t="s">
        <v>1237</v>
      </c>
    </row>
    <row r="4" spans="1:5" x14ac:dyDescent="0.15">
      <c r="A4" t="s">
        <v>1238</v>
      </c>
      <c r="B4" s="36">
        <v>46311</v>
      </c>
    </row>
    <row r="5" spans="1:5" x14ac:dyDescent="0.15">
      <c r="A5" t="s">
        <v>1239</v>
      </c>
    </row>
    <row r="6" spans="1:5" x14ac:dyDescent="0.15">
      <c r="A6" t="s">
        <v>1240</v>
      </c>
      <c r="B6" s="36">
        <v>46315</v>
      </c>
      <c r="C6" t="s">
        <v>1241</v>
      </c>
      <c r="E6" t="s">
        <v>1242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FEDB-5626-442E-A69C-FB4589078CB1}">
  <dimension ref="B1:H52"/>
  <sheetViews>
    <sheetView topLeftCell="A27" zoomScale="93" workbookViewId="0">
      <selection activeCell="B33" sqref="B33:F77"/>
    </sheetView>
  </sheetViews>
  <sheetFormatPr baseColWidth="10" defaultColWidth="8.83203125" defaultRowHeight="13" x14ac:dyDescent="0.15"/>
  <cols>
    <col min="2" max="2" width="68.33203125" customWidth="1"/>
    <col min="3" max="3" width="38.1640625" customWidth="1"/>
  </cols>
  <sheetData>
    <row r="1" spans="2:5" x14ac:dyDescent="0.15">
      <c r="B1" s="39"/>
      <c r="C1" s="39"/>
    </row>
    <row r="2" spans="2:5" x14ac:dyDescent="0.15">
      <c r="B2" s="39"/>
      <c r="C2" s="39"/>
    </row>
    <row r="3" spans="2:5" x14ac:dyDescent="0.15">
      <c r="B3" s="39"/>
      <c r="C3" s="39"/>
    </row>
    <row r="4" spans="2:5" x14ac:dyDescent="0.15">
      <c r="B4" s="39"/>
      <c r="C4" s="39"/>
    </row>
    <row r="6" spans="2:5" x14ac:dyDescent="0.15">
      <c r="B6" s="65" t="s">
        <v>617</v>
      </c>
      <c r="C6" s="66"/>
      <c r="D6" s="66"/>
      <c r="E6" s="66"/>
    </row>
    <row r="7" spans="2:5" x14ac:dyDescent="0.15">
      <c r="B7" s="39" t="s">
        <v>872</v>
      </c>
      <c r="C7" s="39" t="s">
        <v>873</v>
      </c>
    </row>
    <row r="8" spans="2:5" x14ac:dyDescent="0.15">
      <c r="B8" s="39" t="s">
        <v>874</v>
      </c>
    </row>
    <row r="9" spans="2:5" x14ac:dyDescent="0.15">
      <c r="B9" s="39" t="s">
        <v>875</v>
      </c>
    </row>
    <row r="10" spans="2:5" x14ac:dyDescent="0.15">
      <c r="B10" s="39" t="s">
        <v>876</v>
      </c>
    </row>
    <row r="11" spans="2:5" x14ac:dyDescent="0.15">
      <c r="B11" s="39" t="s">
        <v>877</v>
      </c>
    </row>
    <row r="12" spans="2:5" x14ac:dyDescent="0.15">
      <c r="B12" s="39" t="s">
        <v>878</v>
      </c>
      <c r="C12" s="39" t="s">
        <v>879</v>
      </c>
    </row>
    <row r="13" spans="2:5" x14ac:dyDescent="0.15">
      <c r="B13" s="39"/>
    </row>
    <row r="15" spans="2:5" x14ac:dyDescent="0.15">
      <c r="B15" s="39" t="s">
        <v>880</v>
      </c>
      <c r="C15" s="39" t="s">
        <v>881</v>
      </c>
    </row>
    <row r="16" spans="2:5" x14ac:dyDescent="0.15">
      <c r="B16" s="39" t="s">
        <v>882</v>
      </c>
    </row>
    <row r="17" spans="2:8" x14ac:dyDescent="0.15">
      <c r="B17" s="39" t="s">
        <v>883</v>
      </c>
    </row>
    <row r="18" spans="2:8" x14ac:dyDescent="0.15">
      <c r="B18" s="39" t="s">
        <v>884</v>
      </c>
      <c r="H18" s="39"/>
    </row>
    <row r="19" spans="2:8" x14ac:dyDescent="0.15">
      <c r="B19" s="39" t="s">
        <v>885</v>
      </c>
    </row>
    <row r="22" spans="2:8" x14ac:dyDescent="0.15">
      <c r="H22" s="39"/>
    </row>
    <row r="23" spans="2:8" x14ac:dyDescent="0.15">
      <c r="C23">
        <f>(300/12000)*100</f>
        <v>2.5</v>
      </c>
    </row>
    <row r="26" spans="2:8" x14ac:dyDescent="0.15">
      <c r="C26" s="67"/>
      <c r="H26" s="39"/>
    </row>
    <row r="36" spans="2:3" x14ac:dyDescent="0.15">
      <c r="B36" s="67"/>
    </row>
    <row r="37" spans="2:3" x14ac:dyDescent="0.15">
      <c r="B37" s="67"/>
      <c r="C37" s="39"/>
    </row>
    <row r="38" spans="2:3" x14ac:dyDescent="0.15">
      <c r="B38" s="67"/>
      <c r="C38" s="39"/>
    </row>
    <row r="39" spans="2:3" x14ac:dyDescent="0.15">
      <c r="B39" s="67"/>
    </row>
    <row r="40" spans="2:3" x14ac:dyDescent="0.15">
      <c r="B40" s="67"/>
    </row>
    <row r="41" spans="2:3" x14ac:dyDescent="0.15">
      <c r="B41" s="67"/>
    </row>
    <row r="42" spans="2:3" x14ac:dyDescent="0.15">
      <c r="B42" s="67"/>
    </row>
    <row r="43" spans="2:3" x14ac:dyDescent="0.15">
      <c r="B43" s="67"/>
    </row>
    <row r="44" spans="2:3" x14ac:dyDescent="0.15">
      <c r="B44" s="67"/>
    </row>
    <row r="45" spans="2:3" x14ac:dyDescent="0.15">
      <c r="B45" s="67"/>
    </row>
    <row r="46" spans="2:3" x14ac:dyDescent="0.15">
      <c r="B46" s="67"/>
    </row>
    <row r="47" spans="2:3" x14ac:dyDescent="0.15">
      <c r="B47" s="67"/>
    </row>
    <row r="48" spans="2:3" x14ac:dyDescent="0.15">
      <c r="B48" s="67"/>
    </row>
    <row r="49" spans="2:2" x14ac:dyDescent="0.15">
      <c r="B49" s="67"/>
    </row>
    <row r="51" spans="2:2" x14ac:dyDescent="0.15">
      <c r="B51" s="67"/>
    </row>
    <row r="52" spans="2:2" x14ac:dyDescent="0.15">
      <c r="B52" s="6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1F4A6-E0D5-4511-B8E9-CC71ABB1E3CC}">
  <dimension ref="A2:G26"/>
  <sheetViews>
    <sheetView workbookViewId="0">
      <selection activeCell="C30" sqref="C30"/>
    </sheetView>
  </sheetViews>
  <sheetFormatPr baseColWidth="10" defaultColWidth="8.83203125" defaultRowHeight="13" x14ac:dyDescent="0.15"/>
  <cols>
    <col min="1" max="1" width="41.5" customWidth="1"/>
    <col min="2" max="2" width="16.1640625" customWidth="1"/>
    <col min="3" max="3" width="25" customWidth="1"/>
    <col min="4" max="4" width="9.5" customWidth="1"/>
    <col min="5" max="5" width="27" customWidth="1"/>
    <col min="6" max="6" width="75.83203125" customWidth="1"/>
  </cols>
  <sheetData>
    <row r="2" spans="1:7" x14ac:dyDescent="0.15">
      <c r="A2" t="s">
        <v>886</v>
      </c>
    </row>
    <row r="3" spans="1:7" x14ac:dyDescent="0.15">
      <c r="A3" t="s">
        <v>887</v>
      </c>
    </row>
    <row r="4" spans="1:7" x14ac:dyDescent="0.15">
      <c r="A4" t="s">
        <v>888</v>
      </c>
    </row>
    <row r="6" spans="1:7" x14ac:dyDescent="0.15">
      <c r="A6" s="11" t="s">
        <v>784</v>
      </c>
      <c r="B6" s="11" t="s">
        <v>11</v>
      </c>
      <c r="C6" s="11" t="s">
        <v>889</v>
      </c>
      <c r="D6" s="11" t="s">
        <v>14</v>
      </c>
      <c r="E6" s="11" t="s">
        <v>890</v>
      </c>
      <c r="F6" s="11" t="s">
        <v>300</v>
      </c>
      <c r="G6" s="11" t="s">
        <v>891</v>
      </c>
    </row>
    <row r="7" spans="1:7" x14ac:dyDescent="0.15">
      <c r="A7" t="s">
        <v>892</v>
      </c>
      <c r="B7" t="s">
        <v>893</v>
      </c>
      <c r="C7" s="36" t="s">
        <v>894</v>
      </c>
      <c r="D7" s="36" t="s">
        <v>7</v>
      </c>
      <c r="F7" t="s">
        <v>895</v>
      </c>
    </row>
    <row r="8" spans="1:7" x14ac:dyDescent="0.15">
      <c r="A8" t="s">
        <v>896</v>
      </c>
      <c r="B8" t="s">
        <v>54</v>
      </c>
      <c r="C8" s="36">
        <v>46234</v>
      </c>
      <c r="D8" t="s">
        <v>7</v>
      </c>
      <c r="E8" t="s">
        <v>897</v>
      </c>
      <c r="F8" t="s">
        <v>898</v>
      </c>
    </row>
    <row r="9" spans="1:7" x14ac:dyDescent="0.15">
      <c r="A9" t="s">
        <v>899</v>
      </c>
      <c r="B9" t="s">
        <v>900</v>
      </c>
      <c r="C9" s="36">
        <v>46235</v>
      </c>
      <c r="D9" t="s">
        <v>7</v>
      </c>
      <c r="F9" t="s">
        <v>901</v>
      </c>
    </row>
    <row r="10" spans="1:7" x14ac:dyDescent="0.15">
      <c r="A10" t="s">
        <v>902</v>
      </c>
      <c r="B10" t="s">
        <v>54</v>
      </c>
      <c r="C10" s="36">
        <v>46241</v>
      </c>
      <c r="D10" t="s">
        <v>7</v>
      </c>
      <c r="E10" t="s">
        <v>903</v>
      </c>
      <c r="F10" t="s">
        <v>904</v>
      </c>
      <c r="G10" s="49" t="s">
        <v>905</v>
      </c>
    </row>
    <row r="11" spans="1:7" x14ac:dyDescent="0.15">
      <c r="A11" t="s">
        <v>906</v>
      </c>
      <c r="B11" t="s">
        <v>900</v>
      </c>
      <c r="C11" s="36">
        <v>46265</v>
      </c>
      <c r="F11" t="s">
        <v>907</v>
      </c>
    </row>
    <row r="12" spans="1:7" x14ac:dyDescent="0.15">
      <c r="A12" t="s">
        <v>908</v>
      </c>
      <c r="B12" s="36" t="s">
        <v>909</v>
      </c>
      <c r="C12" s="36">
        <v>46227</v>
      </c>
      <c r="E12" t="s">
        <v>65</v>
      </c>
      <c r="F12" t="s">
        <v>910</v>
      </c>
    </row>
    <row r="13" spans="1:7" x14ac:dyDescent="0.15">
      <c r="A13" t="s">
        <v>911</v>
      </c>
      <c r="B13" t="s">
        <v>909</v>
      </c>
      <c r="C13" s="36">
        <v>46265</v>
      </c>
      <c r="F13" t="s">
        <v>910</v>
      </c>
    </row>
    <row r="14" spans="1:7" x14ac:dyDescent="0.15">
      <c r="A14" t="s">
        <v>912</v>
      </c>
      <c r="B14" t="s">
        <v>65</v>
      </c>
      <c r="C14" s="36">
        <v>46265</v>
      </c>
      <c r="F14" t="s">
        <v>910</v>
      </c>
    </row>
    <row r="15" spans="1:7" x14ac:dyDescent="0.15">
      <c r="A15" t="s">
        <v>913</v>
      </c>
      <c r="B15" t="s">
        <v>54</v>
      </c>
      <c r="C15" s="36">
        <v>46265</v>
      </c>
    </row>
    <row r="16" spans="1:7" x14ac:dyDescent="0.15">
      <c r="A16" t="s">
        <v>914</v>
      </c>
      <c r="B16" t="s">
        <v>915</v>
      </c>
      <c r="C16" t="s">
        <v>915</v>
      </c>
    </row>
    <row r="17" spans="1:6" x14ac:dyDescent="0.15">
      <c r="A17" t="s">
        <v>916</v>
      </c>
      <c r="B17" t="s">
        <v>915</v>
      </c>
      <c r="C17" t="s">
        <v>915</v>
      </c>
    </row>
    <row r="18" spans="1:6" x14ac:dyDescent="0.15">
      <c r="A18" t="s">
        <v>917</v>
      </c>
      <c r="B18" t="s">
        <v>915</v>
      </c>
      <c r="C18" t="s">
        <v>915</v>
      </c>
    </row>
    <row r="19" spans="1:6" x14ac:dyDescent="0.15">
      <c r="A19" t="s">
        <v>918</v>
      </c>
      <c r="B19" t="s">
        <v>915</v>
      </c>
      <c r="C19" t="s">
        <v>915</v>
      </c>
    </row>
    <row r="20" spans="1:6" x14ac:dyDescent="0.15">
      <c r="A20" t="s">
        <v>919</v>
      </c>
      <c r="B20" t="s">
        <v>915</v>
      </c>
      <c r="C20" t="s">
        <v>915</v>
      </c>
    </row>
    <row r="21" spans="1:6" x14ac:dyDescent="0.15">
      <c r="A21" t="s">
        <v>920</v>
      </c>
      <c r="B21" t="s">
        <v>915</v>
      </c>
      <c r="C21" t="s">
        <v>915</v>
      </c>
    </row>
    <row r="22" spans="1:6" x14ac:dyDescent="0.15">
      <c r="A22" t="s">
        <v>921</v>
      </c>
      <c r="B22" t="s">
        <v>915</v>
      </c>
      <c r="C22" t="s">
        <v>915</v>
      </c>
    </row>
    <row r="23" spans="1:6" x14ac:dyDescent="0.15">
      <c r="A23" t="s">
        <v>922</v>
      </c>
      <c r="B23" t="s">
        <v>915</v>
      </c>
      <c r="C23" t="s">
        <v>915</v>
      </c>
    </row>
    <row r="24" spans="1:6" x14ac:dyDescent="0.15">
      <c r="A24" t="s">
        <v>923</v>
      </c>
      <c r="B24" t="s">
        <v>915</v>
      </c>
      <c r="C24" t="s">
        <v>915</v>
      </c>
    </row>
    <row r="25" spans="1:6" x14ac:dyDescent="0.15">
      <c r="A25" t="s">
        <v>924</v>
      </c>
      <c r="B25" t="s">
        <v>54</v>
      </c>
      <c r="C25" s="36">
        <v>46280</v>
      </c>
      <c r="F25" t="s">
        <v>925</v>
      </c>
    </row>
    <row r="26" spans="1:6" x14ac:dyDescent="0.15">
      <c r="A26" t="s">
        <v>926</v>
      </c>
      <c r="B26" t="s">
        <v>900</v>
      </c>
      <c r="C26" s="36">
        <v>46280</v>
      </c>
    </row>
  </sheetData>
  <hyperlinks>
    <hyperlink ref="G10" r:id="rId1" xr:uid="{A9028751-8FE0-49C6-824D-8A2B0E50F6A3}"/>
  </hyperlinks>
  <pageMargins left="0.7" right="0.7" top="0.75" bottom="0.75" header="0.3" footer="0.3"/>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5D77C-0B05-5C4A-97A5-A8C0144C6112}">
  <dimension ref="A2:N69"/>
  <sheetViews>
    <sheetView topLeftCell="A46" zoomScale="180" zoomScaleNormal="156" workbookViewId="0">
      <selection activeCell="C7" sqref="C7"/>
    </sheetView>
  </sheetViews>
  <sheetFormatPr baseColWidth="10" defaultColWidth="11.5" defaultRowHeight="13" x14ac:dyDescent="0.15"/>
  <cols>
    <col min="1" max="1" width="4.5" customWidth="1"/>
    <col min="2" max="2" width="4.6640625" customWidth="1"/>
    <col min="3" max="3" width="41.33203125" customWidth="1"/>
    <col min="4" max="4" width="17.6640625" customWidth="1"/>
    <col min="5" max="5" width="10.5" customWidth="1"/>
    <col min="6" max="6" width="13.6640625" customWidth="1"/>
    <col min="7" max="7" width="45.6640625" customWidth="1"/>
    <col min="8" max="8" width="35.1640625" customWidth="1"/>
  </cols>
  <sheetData>
    <row r="2" spans="1:14" x14ac:dyDescent="0.15">
      <c r="C2" s="39" t="s">
        <v>927</v>
      </c>
      <c r="E2" s="72">
        <v>46293</v>
      </c>
      <c r="G2" s="39" t="s">
        <v>928</v>
      </c>
    </row>
    <row r="4" spans="1:14" x14ac:dyDescent="0.15">
      <c r="A4" s="69"/>
      <c r="B4" s="69"/>
      <c r="C4" s="69"/>
      <c r="D4" s="68" t="s">
        <v>929</v>
      </c>
      <c r="E4" s="68" t="s">
        <v>930</v>
      </c>
      <c r="F4" s="68" t="s">
        <v>931</v>
      </c>
      <c r="G4" s="68" t="s">
        <v>932</v>
      </c>
      <c r="H4" s="68" t="s">
        <v>933</v>
      </c>
      <c r="I4" s="68" t="s">
        <v>934</v>
      </c>
    </row>
    <row r="6" spans="1:14" x14ac:dyDescent="0.15">
      <c r="A6" s="39" t="s">
        <v>935</v>
      </c>
      <c r="I6" s="69"/>
      <c r="J6" s="69"/>
      <c r="K6" s="69"/>
      <c r="L6" s="69"/>
      <c r="M6" s="69"/>
      <c r="N6" s="69"/>
    </row>
    <row r="7" spans="1:14" x14ac:dyDescent="0.15">
      <c r="B7" s="39" t="s">
        <v>936</v>
      </c>
      <c r="E7" s="70">
        <v>46258</v>
      </c>
      <c r="F7" s="43" t="s">
        <v>937</v>
      </c>
      <c r="G7" s="39" t="s">
        <v>938</v>
      </c>
      <c r="H7" s="39" t="s">
        <v>939</v>
      </c>
      <c r="I7" s="49" t="s">
        <v>940</v>
      </c>
    </row>
    <row r="8" spans="1:14" x14ac:dyDescent="0.15">
      <c r="B8" s="39"/>
      <c r="I8" s="49" t="s">
        <v>941</v>
      </c>
    </row>
    <row r="9" spans="1:14" x14ac:dyDescent="0.15">
      <c r="B9" s="39" t="s">
        <v>942</v>
      </c>
      <c r="E9" s="72">
        <v>46293</v>
      </c>
      <c r="F9" s="43" t="s">
        <v>719</v>
      </c>
      <c r="G9" s="39" t="s">
        <v>943</v>
      </c>
      <c r="H9" s="39" t="s">
        <v>944</v>
      </c>
      <c r="I9" s="39" t="s">
        <v>945</v>
      </c>
    </row>
    <row r="10" spans="1:14" x14ac:dyDescent="0.15">
      <c r="B10" s="39"/>
      <c r="G10" t="s">
        <v>946</v>
      </c>
      <c r="H10" s="49" t="s">
        <v>112</v>
      </c>
    </row>
    <row r="11" spans="1:14" x14ac:dyDescent="0.15">
      <c r="B11" s="39" t="s">
        <v>947</v>
      </c>
      <c r="E11" s="70">
        <v>46037</v>
      </c>
      <c r="F11" s="43" t="s">
        <v>75</v>
      </c>
      <c r="G11" s="39" t="s">
        <v>948</v>
      </c>
    </row>
    <row r="12" spans="1:14" x14ac:dyDescent="0.15">
      <c r="B12" s="39"/>
    </row>
    <row r="13" spans="1:14" x14ac:dyDescent="0.15">
      <c r="A13" s="39" t="s">
        <v>949</v>
      </c>
      <c r="B13" s="39"/>
    </row>
    <row r="14" spans="1:14" x14ac:dyDescent="0.15">
      <c r="A14" s="39"/>
      <c r="B14" s="39" t="s">
        <v>950</v>
      </c>
      <c r="D14" s="71" t="s">
        <v>951</v>
      </c>
      <c r="E14" s="72">
        <v>46293</v>
      </c>
      <c r="G14" s="39" t="s">
        <v>952</v>
      </c>
      <c r="H14" s="39" t="s">
        <v>953</v>
      </c>
    </row>
    <row r="15" spans="1:14" x14ac:dyDescent="0.15">
      <c r="B15" s="39"/>
      <c r="C15" s="39"/>
      <c r="D15" s="39"/>
      <c r="E15" s="39"/>
      <c r="H15" t="s">
        <v>954</v>
      </c>
      <c r="I15" s="49" t="s">
        <v>147</v>
      </c>
    </row>
    <row r="16" spans="1:14" x14ac:dyDescent="0.15">
      <c r="B16" s="39"/>
      <c r="C16" s="39" t="s">
        <v>955</v>
      </c>
      <c r="D16" s="39"/>
      <c r="E16" s="39"/>
    </row>
    <row r="17" spans="1:9" x14ac:dyDescent="0.15">
      <c r="B17" s="39"/>
      <c r="C17" t="s">
        <v>956</v>
      </c>
      <c r="G17" t="s">
        <v>957</v>
      </c>
    </row>
    <row r="18" spans="1:9" x14ac:dyDescent="0.15">
      <c r="B18" s="39"/>
    </row>
    <row r="19" spans="1:9" x14ac:dyDescent="0.15">
      <c r="A19" s="39" t="s">
        <v>958</v>
      </c>
      <c r="B19" s="39"/>
    </row>
    <row r="20" spans="1:9" x14ac:dyDescent="0.15">
      <c r="B20" s="39" t="s">
        <v>959</v>
      </c>
      <c r="E20" s="70">
        <v>46249</v>
      </c>
      <c r="F20" s="43" t="s">
        <v>719</v>
      </c>
      <c r="G20" s="39" t="s">
        <v>960</v>
      </c>
      <c r="H20" s="39" t="s">
        <v>961</v>
      </c>
      <c r="I20" s="49" t="s">
        <v>57</v>
      </c>
    </row>
    <row r="22" spans="1:9" x14ac:dyDescent="0.15">
      <c r="B22" s="39" t="s">
        <v>962</v>
      </c>
      <c r="E22" s="73">
        <v>46295</v>
      </c>
      <c r="F22" s="43" t="s">
        <v>75</v>
      </c>
      <c r="G22" s="43" t="s">
        <v>963</v>
      </c>
      <c r="H22" t="s">
        <v>964</v>
      </c>
      <c r="I22" s="49" t="s">
        <v>68</v>
      </c>
    </row>
    <row r="24" spans="1:9" x14ac:dyDescent="0.15">
      <c r="A24" s="39" t="s">
        <v>270</v>
      </c>
    </row>
    <row r="25" spans="1:9" x14ac:dyDescent="0.15">
      <c r="B25" s="39" t="s">
        <v>965</v>
      </c>
      <c r="C25" t="s">
        <v>966</v>
      </c>
      <c r="D25" s="39" t="s">
        <v>967</v>
      </c>
      <c r="E25" s="72">
        <v>46293</v>
      </c>
      <c r="G25" s="39" t="s">
        <v>968</v>
      </c>
      <c r="H25" t="s">
        <v>969</v>
      </c>
      <c r="I25" s="49" t="s">
        <v>78</v>
      </c>
    </row>
    <row r="26" spans="1:9" x14ac:dyDescent="0.15">
      <c r="H26" t="s">
        <v>970</v>
      </c>
      <c r="I26" t="s">
        <v>77</v>
      </c>
    </row>
    <row r="28" spans="1:9" x14ac:dyDescent="0.15">
      <c r="A28" s="39" t="s">
        <v>971</v>
      </c>
      <c r="D28" s="74" t="s">
        <v>972</v>
      </c>
    </row>
    <row r="29" spans="1:9" x14ac:dyDescent="0.15">
      <c r="A29" s="39"/>
      <c r="B29" s="39" t="s">
        <v>973</v>
      </c>
    </row>
    <row r="30" spans="1:9" x14ac:dyDescent="0.15">
      <c r="C30" s="39" t="s">
        <v>974</v>
      </c>
      <c r="D30" s="39"/>
      <c r="E30" s="72">
        <v>46293</v>
      </c>
      <c r="F30" s="43" t="s">
        <v>719</v>
      </c>
      <c r="G30" s="39" t="s">
        <v>975</v>
      </c>
    </row>
    <row r="31" spans="1:9" x14ac:dyDescent="0.15">
      <c r="C31" s="39" t="s">
        <v>976</v>
      </c>
      <c r="D31" s="39"/>
      <c r="E31" s="39"/>
    </row>
    <row r="32" spans="1:9" x14ac:dyDescent="0.15">
      <c r="C32" s="39" t="s">
        <v>977</v>
      </c>
      <c r="D32" s="39"/>
      <c r="E32" s="39"/>
    </row>
    <row r="33" spans="1:6" x14ac:dyDescent="0.15">
      <c r="C33" s="39" t="s">
        <v>978</v>
      </c>
      <c r="D33" s="39"/>
      <c r="E33" s="72">
        <v>46293</v>
      </c>
      <c r="F33" s="39" t="s">
        <v>979</v>
      </c>
    </row>
    <row r="34" spans="1:6" x14ac:dyDescent="0.15">
      <c r="B34" s="39"/>
    </row>
    <row r="35" spans="1:6" x14ac:dyDescent="0.15">
      <c r="B35" s="39" t="s">
        <v>980</v>
      </c>
    </row>
    <row r="36" spans="1:6" x14ac:dyDescent="0.15">
      <c r="B36" s="39"/>
      <c r="C36" s="39" t="s">
        <v>981</v>
      </c>
      <c r="D36" s="39"/>
      <c r="E36" s="39"/>
    </row>
    <row r="37" spans="1:6" x14ac:dyDescent="0.15">
      <c r="B37" s="39"/>
    </row>
    <row r="38" spans="1:6" x14ac:dyDescent="0.15">
      <c r="A38" s="39" t="s">
        <v>982</v>
      </c>
      <c r="B38" s="39"/>
    </row>
    <row r="39" spans="1:6" x14ac:dyDescent="0.15">
      <c r="A39" s="39"/>
      <c r="B39" s="39" t="s">
        <v>983</v>
      </c>
    </row>
    <row r="40" spans="1:6" x14ac:dyDescent="0.15">
      <c r="C40" s="39" t="s">
        <v>984</v>
      </c>
      <c r="D40" s="39"/>
      <c r="E40" s="72">
        <v>46293</v>
      </c>
    </row>
    <row r="41" spans="1:6" x14ac:dyDescent="0.15">
      <c r="C41" s="39" t="s">
        <v>985</v>
      </c>
      <c r="D41" s="39"/>
      <c r="E41" s="39"/>
    </row>
    <row r="42" spans="1:6" x14ac:dyDescent="0.15">
      <c r="C42" s="39" t="s">
        <v>977</v>
      </c>
      <c r="D42" s="39"/>
      <c r="E42" s="39"/>
    </row>
    <row r="43" spans="1:6" x14ac:dyDescent="0.15">
      <c r="C43" s="39" t="s">
        <v>986</v>
      </c>
      <c r="D43" s="39"/>
      <c r="E43" s="72">
        <v>46293</v>
      </c>
      <c r="F43" s="39" t="s">
        <v>979</v>
      </c>
    </row>
    <row r="44" spans="1:6" x14ac:dyDescent="0.15">
      <c r="B44" s="39"/>
    </row>
    <row r="45" spans="1:6" x14ac:dyDescent="0.15">
      <c r="B45" s="39" t="s">
        <v>980</v>
      </c>
      <c r="D45" s="74" t="s">
        <v>987</v>
      </c>
    </row>
    <row r="46" spans="1:6" x14ac:dyDescent="0.15">
      <c r="B46" s="39"/>
      <c r="C46" t="s">
        <v>981</v>
      </c>
    </row>
    <row r="47" spans="1:6" x14ac:dyDescent="0.15">
      <c r="B47" s="39"/>
    </row>
    <row r="48" spans="1:6" x14ac:dyDescent="0.15">
      <c r="B48" s="39"/>
    </row>
    <row r="49" spans="1:7" x14ac:dyDescent="0.15">
      <c r="A49" s="39" t="s">
        <v>736</v>
      </c>
      <c r="B49" t="s">
        <v>988</v>
      </c>
    </row>
    <row r="50" spans="1:7" x14ac:dyDescent="0.15">
      <c r="B50" s="39" t="s">
        <v>989</v>
      </c>
    </row>
    <row r="51" spans="1:7" x14ac:dyDescent="0.15">
      <c r="C51" s="39" t="s">
        <v>990</v>
      </c>
    </row>
    <row r="52" spans="1:7" x14ac:dyDescent="0.15">
      <c r="C52" s="39" t="s">
        <v>991</v>
      </c>
    </row>
    <row r="53" spans="1:7" x14ac:dyDescent="0.15">
      <c r="B53" s="39" t="s">
        <v>992</v>
      </c>
      <c r="C53" t="s">
        <v>993</v>
      </c>
    </row>
    <row r="54" spans="1:7" x14ac:dyDescent="0.15">
      <c r="C54" s="39" t="s">
        <v>994</v>
      </c>
    </row>
    <row r="55" spans="1:7" x14ac:dyDescent="0.15">
      <c r="A55" s="39"/>
      <c r="B55" s="39" t="s">
        <v>988</v>
      </c>
      <c r="C55" t="s">
        <v>995</v>
      </c>
    </row>
    <row r="56" spans="1:7" x14ac:dyDescent="0.15">
      <c r="A56" s="39"/>
      <c r="B56" s="39"/>
      <c r="C56" t="s">
        <v>996</v>
      </c>
    </row>
    <row r="57" spans="1:7" x14ac:dyDescent="0.15">
      <c r="C57" s="39" t="s">
        <v>997</v>
      </c>
    </row>
    <row r="58" spans="1:7" x14ac:dyDescent="0.15">
      <c r="C58" s="39" t="s">
        <v>998</v>
      </c>
    </row>
    <row r="59" spans="1:7" x14ac:dyDescent="0.15">
      <c r="B59" s="39" t="s">
        <v>999</v>
      </c>
      <c r="D59" t="s">
        <v>1000</v>
      </c>
      <c r="G59" t="s">
        <v>1001</v>
      </c>
    </row>
    <row r="60" spans="1:7" x14ac:dyDescent="0.15">
      <c r="G60" t="s">
        <v>1002</v>
      </c>
    </row>
    <row r="61" spans="1:7" x14ac:dyDescent="0.15">
      <c r="G61" t="s">
        <v>1003</v>
      </c>
    </row>
    <row r="64" spans="1:7" x14ac:dyDescent="0.15">
      <c r="B64" s="39" t="s">
        <v>1004</v>
      </c>
    </row>
    <row r="65" spans="2:2" x14ac:dyDescent="0.15">
      <c r="B65" s="39" t="s">
        <v>1005</v>
      </c>
    </row>
    <row r="66" spans="2:2" x14ac:dyDescent="0.15">
      <c r="B66" s="39" t="s">
        <v>1006</v>
      </c>
    </row>
    <row r="67" spans="2:2" x14ac:dyDescent="0.15">
      <c r="B67" s="39" t="s">
        <v>1007</v>
      </c>
    </row>
    <row r="68" spans="2:2" x14ac:dyDescent="0.15">
      <c r="B68" s="39" t="s">
        <v>1008</v>
      </c>
    </row>
    <row r="69" spans="2:2" x14ac:dyDescent="0.15">
      <c r="B69" s="39"/>
    </row>
  </sheetData>
  <conditionalFormatting sqref="F7">
    <cfRule type="containsText" dxfId="30" priority="21" operator="containsText" text="At Risk">
      <formula>NOT(ISERROR(SEARCH("At Risk",F7)))</formula>
    </cfRule>
    <cfRule type="containsText" dxfId="29" priority="22" operator="containsText" text="Can Catch Up">
      <formula>NOT(ISERROR(SEARCH("Can Catch Up",F7)))</formula>
    </cfRule>
    <cfRule type="containsText" dxfId="28" priority="23" operator="containsText" text="On Track">
      <formula>NOT(ISERROR(SEARCH("On Track",F7)))</formula>
    </cfRule>
    <cfRule type="colorScale" priority="24">
      <colorScale>
        <cfvo type="min"/>
        <cfvo type="percentile" val="50"/>
        <cfvo type="max"/>
        <color rgb="FFF8696B"/>
        <color rgb="FFFFEB84"/>
        <color rgb="FF63BE7B"/>
      </colorScale>
    </cfRule>
  </conditionalFormatting>
  <conditionalFormatting sqref="F9">
    <cfRule type="containsText" dxfId="27" priority="17" operator="containsText" text="At Risk">
      <formula>NOT(ISERROR(SEARCH("At Risk",F9)))</formula>
    </cfRule>
    <cfRule type="containsText" dxfId="26" priority="18" operator="containsText" text="Can Catch Up">
      <formula>NOT(ISERROR(SEARCH("Can Catch Up",F9)))</formula>
    </cfRule>
    <cfRule type="containsText" dxfId="25" priority="19" operator="containsText" text="On Track">
      <formula>NOT(ISERROR(SEARCH("On Track",F9)))</formula>
    </cfRule>
    <cfRule type="colorScale" priority="20">
      <colorScale>
        <cfvo type="min"/>
        <cfvo type="percentile" val="50"/>
        <cfvo type="max"/>
        <color rgb="FFF8696B"/>
        <color rgb="FFFFEB84"/>
        <color rgb="FF63BE7B"/>
      </colorScale>
    </cfRule>
  </conditionalFormatting>
  <conditionalFormatting sqref="F11">
    <cfRule type="containsText" dxfId="24" priority="13" operator="containsText" text="At Risk">
      <formula>NOT(ISERROR(SEARCH("At Risk",F11)))</formula>
    </cfRule>
    <cfRule type="containsText" dxfId="23" priority="14" operator="containsText" text="Can Catch Up">
      <formula>NOT(ISERROR(SEARCH("Can Catch Up",F11)))</formula>
    </cfRule>
    <cfRule type="containsText" dxfId="22" priority="15" operator="containsText" text="On Track">
      <formula>NOT(ISERROR(SEARCH("On Track",F11)))</formula>
    </cfRule>
    <cfRule type="colorScale" priority="16">
      <colorScale>
        <cfvo type="min"/>
        <cfvo type="percentile" val="50"/>
        <cfvo type="max"/>
        <color rgb="FFF8696B"/>
        <color rgb="FFFFEB84"/>
        <color rgb="FF63BE7B"/>
      </colorScale>
    </cfRule>
  </conditionalFormatting>
  <conditionalFormatting sqref="F20">
    <cfRule type="containsText" dxfId="21" priority="9" operator="containsText" text="At Risk">
      <formula>NOT(ISERROR(SEARCH("At Risk",F20)))</formula>
    </cfRule>
    <cfRule type="containsText" dxfId="20" priority="10" operator="containsText" text="Can Catch Up">
      <formula>NOT(ISERROR(SEARCH("Can Catch Up",F20)))</formula>
    </cfRule>
    <cfRule type="containsText" dxfId="19" priority="11" operator="containsText" text="On Track">
      <formula>NOT(ISERROR(SEARCH("On Track",F20)))</formula>
    </cfRule>
    <cfRule type="colorScale" priority="12">
      <colorScale>
        <cfvo type="min"/>
        <cfvo type="percentile" val="50"/>
        <cfvo type="max"/>
        <color rgb="FFF8696B"/>
        <color rgb="FFFFEB84"/>
        <color rgb="FF63BE7B"/>
      </colorScale>
    </cfRule>
  </conditionalFormatting>
  <conditionalFormatting sqref="F30">
    <cfRule type="containsText" dxfId="18" priority="1" operator="containsText" text="At Risk">
      <formula>NOT(ISERROR(SEARCH("At Risk",F30)))</formula>
    </cfRule>
    <cfRule type="containsText" dxfId="17" priority="2" operator="containsText" text="Can Catch Up">
      <formula>NOT(ISERROR(SEARCH("Can Catch Up",F30)))</formula>
    </cfRule>
    <cfRule type="containsText" dxfId="16" priority="3" operator="containsText" text="On Track">
      <formula>NOT(ISERROR(SEARCH("On Track",F30)))</formula>
    </cfRule>
    <cfRule type="colorScale" priority="4">
      <colorScale>
        <cfvo type="min"/>
        <cfvo type="percentile" val="50"/>
        <cfvo type="max"/>
        <color rgb="FFF8696B"/>
        <color rgb="FFFFEB84"/>
        <color rgb="FF63BE7B"/>
      </colorScale>
    </cfRule>
  </conditionalFormatting>
  <conditionalFormatting sqref="F22:G22">
    <cfRule type="containsText" dxfId="15" priority="5" operator="containsText" text="At Risk">
      <formula>NOT(ISERROR(SEARCH("At Risk",F22)))</formula>
    </cfRule>
    <cfRule type="containsText" dxfId="14" priority="6" operator="containsText" text="Can Catch Up">
      <formula>NOT(ISERROR(SEARCH("Can Catch Up",F22)))</formula>
    </cfRule>
    <cfRule type="containsText" dxfId="13" priority="7" operator="containsText" text="On Track">
      <formula>NOT(ISERROR(SEARCH("On Track",F22)))</formula>
    </cfRule>
    <cfRule type="colorScale" priority="8">
      <colorScale>
        <cfvo type="min"/>
        <cfvo type="percentile" val="50"/>
        <cfvo type="max"/>
        <color rgb="FFF8696B"/>
        <color rgb="FFFFEB84"/>
        <color rgb="FF63BE7B"/>
      </colorScale>
    </cfRule>
  </conditionalFormatting>
  <dataValidations count="1">
    <dataValidation type="list" allowBlank="1" showInputMessage="1" showErrorMessage="1" sqref="F7 F9 F11 F20 F22 F30" xr:uid="{C79310D3-EFEB-A245-B69C-605187A8F8F4}">
      <formula1>"On Track, Can Catch Up, At Risk"</formula1>
    </dataValidation>
  </dataValidations>
  <hyperlinks>
    <hyperlink ref="I22" r:id="rId1" xr:uid="{043B5698-8184-454C-AA3B-3098F6B755AF}"/>
    <hyperlink ref="I7" r:id="rId2" display="https://nspect.nvidia.com/review?id=NSPECT-ZP0R-U13D" xr:uid="{7855D970-9015-5B4A-BFAE-2462FA51D81F}"/>
    <hyperlink ref="I8" r:id="rId3" display="https://nspect.nvidia.com/review?id=NSPECT-ZP0R-U13D" xr:uid="{777F8B02-0778-D048-A8DE-7A2B30F05756}"/>
    <hyperlink ref="I15" r:id="rId4" xr:uid="{415155B7-2E85-4D48-BD4F-0B787702CFB0}"/>
    <hyperlink ref="I20" r:id="rId5" xr:uid="{E3661375-79C0-9F43-A423-4214B7931640}"/>
    <hyperlink ref="H10" r:id="rId6" xr:uid="{606A8515-726F-4B1B-B431-075FA9933839}"/>
    <hyperlink ref="I25" r:id="rId7" xr:uid="{CED2DE83-78B0-4DAF-B40D-9517EFB9EF43}"/>
  </hyperlinks>
  <pageMargins left="0.7" right="0.7" top="0.75" bottom="0.75" header="0.3" footer="0.3"/>
  <pageSetup orientation="portrait" horizontalDpi="0" verticalDpi="0"/>
  <legacyDrawing r:id="rId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6"/>
  <sheetViews>
    <sheetView showGridLines="0" workbookViewId="0">
      <pane ySplit="6" topLeftCell="A23" activePane="bottomLeft" state="frozen"/>
      <selection pane="bottomLeft" activeCell="G38" sqref="G38"/>
    </sheetView>
  </sheetViews>
  <sheetFormatPr baseColWidth="10" defaultColWidth="12.5" defaultRowHeight="15.75" customHeight="1" x14ac:dyDescent="0.15"/>
  <cols>
    <col min="1" max="1" width="52.33203125" customWidth="1"/>
    <col min="2" max="2" width="80.5" customWidth="1"/>
    <col min="3" max="3" width="36" customWidth="1"/>
    <col min="4" max="5" width="19.1640625" customWidth="1"/>
    <col min="6" max="6" width="15.1640625" customWidth="1"/>
    <col min="7" max="7" width="48.5" customWidth="1"/>
    <col min="8" max="8" width="50" customWidth="1"/>
    <col min="9" max="9" width="24.5" customWidth="1"/>
    <col min="10" max="10" width="16.33203125" customWidth="1"/>
  </cols>
  <sheetData>
    <row r="1" spans="1:10" ht="33" customHeight="1" x14ac:dyDescent="0.15">
      <c r="B1" s="11" t="s">
        <v>1009</v>
      </c>
    </row>
    <row r="2" spans="1:10" s="13" customFormat="1" ht="24" customHeight="1" x14ac:dyDescent="0.15">
      <c r="B2" s="12"/>
    </row>
    <row r="3" spans="1:10" ht="48.75" customHeight="1" x14ac:dyDescent="0.25">
      <c r="B3" s="35" t="s">
        <v>1010</v>
      </c>
      <c r="D3" s="14"/>
      <c r="E3" s="14"/>
    </row>
    <row r="4" spans="1:10" ht="15.75" customHeight="1" x14ac:dyDescent="0.15">
      <c r="A4" s="13"/>
      <c r="B4" s="12"/>
      <c r="C4" s="13"/>
      <c r="D4" s="13"/>
      <c r="E4" s="13"/>
      <c r="F4" s="13"/>
      <c r="G4" s="13"/>
      <c r="H4" s="13"/>
      <c r="I4" s="13"/>
      <c r="J4" s="13"/>
    </row>
    <row r="5" spans="1:10" ht="5.25" customHeight="1" x14ac:dyDescent="0.15"/>
    <row r="6" spans="1:10" s="30" customFormat="1" ht="37.5" customHeight="1" x14ac:dyDescent="0.15">
      <c r="A6" s="26" t="s">
        <v>783</v>
      </c>
      <c r="B6" s="27" t="s">
        <v>784</v>
      </c>
      <c r="C6" s="27" t="s">
        <v>550</v>
      </c>
      <c r="D6" s="28" t="s">
        <v>785</v>
      </c>
      <c r="E6" s="28" t="s">
        <v>1011</v>
      </c>
      <c r="F6" s="27" t="s">
        <v>787</v>
      </c>
      <c r="G6" s="27" t="s">
        <v>14</v>
      </c>
      <c r="H6" s="27" t="s">
        <v>788</v>
      </c>
      <c r="I6" s="27" t="s">
        <v>622</v>
      </c>
      <c r="J6" s="29" t="s">
        <v>789</v>
      </c>
    </row>
    <row r="7" spans="1:10" ht="22.5" customHeight="1" x14ac:dyDescent="0.15">
      <c r="A7" s="34" t="s">
        <v>1012</v>
      </c>
      <c r="B7" s="1" t="s">
        <v>1013</v>
      </c>
      <c r="C7" s="1" t="s">
        <v>1014</v>
      </c>
      <c r="D7" s="2" t="s">
        <v>1015</v>
      </c>
      <c r="E7" s="2"/>
      <c r="F7" s="3" t="s">
        <v>1016</v>
      </c>
      <c r="G7" s="1" t="s">
        <v>33</v>
      </c>
      <c r="H7" s="1" t="s">
        <v>1017</v>
      </c>
      <c r="I7" s="3" t="s">
        <v>1018</v>
      </c>
      <c r="J7" s="8" t="s">
        <v>1019</v>
      </c>
    </row>
    <row r="8" spans="1:10" ht="34.5" customHeight="1" x14ac:dyDescent="0.15">
      <c r="A8" s="34"/>
      <c r="B8" s="3" t="s">
        <v>1020</v>
      </c>
      <c r="C8" s="1" t="s">
        <v>1021</v>
      </c>
      <c r="D8" s="2" t="s">
        <v>1022</v>
      </c>
      <c r="E8" s="2"/>
      <c r="F8" s="3" t="s">
        <v>1023</v>
      </c>
      <c r="G8" s="1" t="s">
        <v>33</v>
      </c>
      <c r="H8" s="3" t="s">
        <v>1024</v>
      </c>
      <c r="I8" s="3" t="s">
        <v>1025</v>
      </c>
      <c r="J8" s="4"/>
    </row>
    <row r="9" spans="1:10" ht="22.5" customHeight="1" x14ac:dyDescent="0.15">
      <c r="A9" s="34"/>
      <c r="B9" s="1" t="s">
        <v>1026</v>
      </c>
      <c r="C9" s="1" t="s">
        <v>1014</v>
      </c>
      <c r="D9" s="2" t="s">
        <v>1027</v>
      </c>
      <c r="E9" s="2"/>
      <c r="F9" s="3" t="s">
        <v>1028</v>
      </c>
      <c r="G9" s="1" t="s">
        <v>33</v>
      </c>
      <c r="H9" s="1" t="s">
        <v>1029</v>
      </c>
      <c r="I9" s="3" t="s">
        <v>1030</v>
      </c>
      <c r="J9" s="4" t="s">
        <v>1031</v>
      </c>
    </row>
    <row r="10" spans="1:10" ht="22.5" customHeight="1" x14ac:dyDescent="0.15">
      <c r="A10" s="34"/>
      <c r="B10" s="3" t="s">
        <v>1032</v>
      </c>
      <c r="C10" s="1" t="s">
        <v>1014</v>
      </c>
      <c r="D10" s="2" t="s">
        <v>1015</v>
      </c>
      <c r="E10" s="2"/>
      <c r="F10" s="3" t="s">
        <v>1028</v>
      </c>
      <c r="G10" s="1" t="s">
        <v>33</v>
      </c>
      <c r="H10" s="1" t="s">
        <v>1033</v>
      </c>
      <c r="I10" s="3"/>
    </row>
    <row r="11" spans="1:10" ht="22.5" customHeight="1" x14ac:dyDescent="0.15">
      <c r="A11" s="34"/>
      <c r="B11" s="3" t="s">
        <v>1034</v>
      </c>
      <c r="C11" s="1" t="s">
        <v>1014</v>
      </c>
      <c r="D11" s="2" t="s">
        <v>1015</v>
      </c>
      <c r="E11" s="3"/>
      <c r="F11" s="3" t="s">
        <v>1035</v>
      </c>
      <c r="G11" s="1" t="s">
        <v>210</v>
      </c>
      <c r="H11" s="1"/>
      <c r="I11" s="3"/>
    </row>
    <row r="12" spans="1:10" ht="33.75" customHeight="1" x14ac:dyDescent="0.15">
      <c r="A12" s="34"/>
      <c r="B12" s="1" t="s">
        <v>1036</v>
      </c>
      <c r="C12" s="1" t="s">
        <v>1037</v>
      </c>
      <c r="D12" s="2" t="s">
        <v>1015</v>
      </c>
      <c r="E12" s="3"/>
      <c r="F12" s="3" t="s">
        <v>1038</v>
      </c>
      <c r="G12" s="1" t="s">
        <v>33</v>
      </c>
      <c r="H12" s="1"/>
      <c r="I12" s="3"/>
    </row>
    <row r="13" spans="1:10" ht="40.5" customHeight="1" x14ac:dyDescent="0.15">
      <c r="A13" s="34"/>
      <c r="B13" s="1" t="s">
        <v>1039</v>
      </c>
      <c r="C13" s="1" t="s">
        <v>1014</v>
      </c>
      <c r="D13" s="2" t="s">
        <v>1015</v>
      </c>
      <c r="E13" s="2"/>
      <c r="F13" s="3" t="s">
        <v>1040</v>
      </c>
      <c r="G13" s="1" t="s">
        <v>33</v>
      </c>
      <c r="H13" s="3" t="s">
        <v>1041</v>
      </c>
      <c r="I13" s="3"/>
    </row>
    <row r="14" spans="1:10" ht="27.75" customHeight="1" x14ac:dyDescent="0.15">
      <c r="A14" s="34"/>
      <c r="B14" s="1" t="s">
        <v>1042</v>
      </c>
      <c r="C14" s="1" t="s">
        <v>1014</v>
      </c>
      <c r="D14" s="2" t="s">
        <v>1015</v>
      </c>
      <c r="E14" s="3"/>
      <c r="F14" s="3" t="s">
        <v>1043</v>
      </c>
      <c r="G14" s="1" t="s">
        <v>33</v>
      </c>
      <c r="H14" s="3"/>
      <c r="I14" s="3"/>
    </row>
    <row r="15" spans="1:10" ht="33" customHeight="1" x14ac:dyDescent="0.15">
      <c r="A15" s="34"/>
      <c r="B15" s="1" t="s">
        <v>1044</v>
      </c>
      <c r="C15" s="1" t="s">
        <v>1014</v>
      </c>
      <c r="D15" s="2" t="s">
        <v>1027</v>
      </c>
      <c r="E15" s="3"/>
      <c r="F15" s="3" t="s">
        <v>1040</v>
      </c>
      <c r="G15" s="1" t="s">
        <v>33</v>
      </c>
      <c r="H15" s="1" t="s">
        <v>1045</v>
      </c>
      <c r="I15" s="3"/>
      <c r="J15" s="8" t="s">
        <v>1046</v>
      </c>
    </row>
    <row r="16" spans="1:10" ht="22.5" customHeight="1" x14ac:dyDescent="0.15">
      <c r="A16" s="34"/>
      <c r="B16" s="3" t="s">
        <v>1047</v>
      </c>
      <c r="C16" s="1" t="s">
        <v>1014</v>
      </c>
      <c r="D16" s="2" t="s">
        <v>1015</v>
      </c>
      <c r="E16" s="3"/>
      <c r="F16" s="3" t="s">
        <v>1040</v>
      </c>
      <c r="G16" s="1" t="s">
        <v>33</v>
      </c>
      <c r="H16" s="3" t="s">
        <v>1048</v>
      </c>
      <c r="I16" s="3"/>
    </row>
    <row r="17" spans="1:10" ht="22.5" customHeight="1" x14ac:dyDescent="0.15">
      <c r="A17" s="34"/>
      <c r="B17" s="3" t="s">
        <v>1049</v>
      </c>
      <c r="C17" s="5" t="s">
        <v>1014</v>
      </c>
      <c r="D17" s="2" t="s">
        <v>1027</v>
      </c>
      <c r="E17" s="2"/>
      <c r="F17" s="6" t="s">
        <v>1040</v>
      </c>
      <c r="G17" s="5" t="s">
        <v>33</v>
      </c>
      <c r="H17" s="3" t="s">
        <v>1050</v>
      </c>
      <c r="I17" s="7" t="s">
        <v>1051</v>
      </c>
      <c r="J17" s="4" t="s">
        <v>1052</v>
      </c>
    </row>
    <row r="18" spans="1:10" ht="22.5" customHeight="1" x14ac:dyDescent="0.15">
      <c r="A18" s="34"/>
      <c r="B18" s="3" t="s">
        <v>1053</v>
      </c>
      <c r="C18" s="1" t="s">
        <v>1021</v>
      </c>
      <c r="D18" s="2" t="s">
        <v>1027</v>
      </c>
      <c r="E18" s="2"/>
      <c r="F18" s="6" t="s">
        <v>1054</v>
      </c>
      <c r="G18" s="5"/>
      <c r="H18" s="3"/>
      <c r="I18" s="7"/>
      <c r="J18" s="4"/>
    </row>
    <row r="19" spans="1:10" s="22" customFormat="1" ht="22.5" customHeight="1" x14ac:dyDescent="0.15">
      <c r="A19" s="34"/>
      <c r="B19" s="1" t="s">
        <v>1055</v>
      </c>
      <c r="C19" s="1" t="s">
        <v>1021</v>
      </c>
      <c r="D19" t="s">
        <v>1056</v>
      </c>
      <c r="E19"/>
      <c r="F19" s="3" t="s">
        <v>1054</v>
      </c>
      <c r="G19" s="1" t="s">
        <v>33</v>
      </c>
      <c r="H19" s="1" t="s">
        <v>1057</v>
      </c>
      <c r="I19" s="3" t="s">
        <v>1058</v>
      </c>
      <c r="J19"/>
    </row>
    <row r="20" spans="1:10" s="22" customFormat="1" ht="22.5" customHeight="1" x14ac:dyDescent="0.15">
      <c r="A20" s="38"/>
      <c r="B20" s="1" t="s">
        <v>1059</v>
      </c>
      <c r="C20" s="1" t="s">
        <v>522</v>
      </c>
      <c r="D20" t="s">
        <v>1015</v>
      </c>
      <c r="E20" s="3"/>
      <c r="F20" s="3" t="s">
        <v>1060</v>
      </c>
      <c r="G20" s="1" t="s">
        <v>836</v>
      </c>
      <c r="H20" s="1" t="s">
        <v>1061</v>
      </c>
      <c r="I20" s="3"/>
      <c r="J20"/>
    </row>
    <row r="21" spans="1:10" s="22" customFormat="1" ht="22.5" customHeight="1" x14ac:dyDescent="0.15">
      <c r="A21" s="38"/>
      <c r="B21" s="1" t="s">
        <v>1062</v>
      </c>
      <c r="C21" s="1" t="s">
        <v>522</v>
      </c>
      <c r="D21" t="s">
        <v>1063</v>
      </c>
      <c r="E21" s="3"/>
      <c r="F21" s="3" t="s">
        <v>1054</v>
      </c>
      <c r="G21" s="1" t="s">
        <v>33</v>
      </c>
      <c r="H21" s="1"/>
      <c r="I21" s="15" t="s">
        <v>1064</v>
      </c>
      <c r="J21"/>
    </row>
    <row r="22" spans="1:10" s="22" customFormat="1" ht="22.5" customHeight="1" x14ac:dyDescent="0.15">
      <c r="A22" s="38"/>
      <c r="B22" s="1" t="s">
        <v>1065</v>
      </c>
      <c r="C22" s="1" t="s">
        <v>522</v>
      </c>
      <c r="D22" t="s">
        <v>1063</v>
      </c>
      <c r="E22" s="3"/>
      <c r="F22" s="3"/>
      <c r="G22" s="1"/>
      <c r="H22" s="1" t="s">
        <v>1066</v>
      </c>
      <c r="I22" s="3"/>
      <c r="J22"/>
    </row>
    <row r="23" spans="1:10" ht="42" customHeight="1" x14ac:dyDescent="0.15">
      <c r="A23" s="23" t="s">
        <v>1067</v>
      </c>
      <c r="B23" s="24"/>
      <c r="C23" s="24"/>
      <c r="D23" s="22"/>
      <c r="E23" s="25"/>
      <c r="F23" s="25"/>
      <c r="G23" s="24"/>
      <c r="H23" s="24"/>
      <c r="I23" s="25"/>
      <c r="J23" s="22"/>
    </row>
    <row r="24" spans="1:10" ht="45" customHeight="1" x14ac:dyDescent="0.15">
      <c r="A24" s="34" t="s">
        <v>1068</v>
      </c>
      <c r="B24" s="3" t="s">
        <v>1069</v>
      </c>
      <c r="C24" s="1" t="s">
        <v>1037</v>
      </c>
      <c r="D24" s="2" t="s">
        <v>1015</v>
      </c>
      <c r="E24" s="2"/>
      <c r="F24" s="3"/>
      <c r="G24" s="1" t="s">
        <v>33</v>
      </c>
      <c r="H24" s="1" t="s">
        <v>1070</v>
      </c>
      <c r="I24" s="3"/>
    </row>
    <row r="25" spans="1:10" ht="67.5" customHeight="1" x14ac:dyDescent="0.15">
      <c r="A25" s="33"/>
      <c r="B25" s="3" t="s">
        <v>1071</v>
      </c>
      <c r="C25" s="1" t="s">
        <v>1037</v>
      </c>
      <c r="D25" s="3"/>
      <c r="E25" s="3"/>
      <c r="F25" s="3"/>
      <c r="G25" s="1"/>
      <c r="H25" s="15" t="s">
        <v>1072</v>
      </c>
      <c r="I25" s="3" t="s">
        <v>1073</v>
      </c>
    </row>
    <row r="26" spans="1:10" ht="22.5" customHeight="1" x14ac:dyDescent="0.15">
      <c r="A26" s="33"/>
      <c r="B26" s="3" t="s">
        <v>1074</v>
      </c>
      <c r="C26" s="1" t="s">
        <v>1037</v>
      </c>
      <c r="D26" s="3" t="s">
        <v>1075</v>
      </c>
      <c r="E26" s="3" t="s">
        <v>1076</v>
      </c>
      <c r="F26" s="3" t="s">
        <v>1077</v>
      </c>
      <c r="G26" s="1" t="s">
        <v>33</v>
      </c>
      <c r="H26" s="3" t="s">
        <v>1078</v>
      </c>
      <c r="I26" s="3"/>
    </row>
    <row r="27" spans="1:10" ht="22.5" customHeight="1" x14ac:dyDescent="0.15">
      <c r="A27" s="33"/>
      <c r="B27" s="3" t="s">
        <v>1079</v>
      </c>
      <c r="C27" s="1" t="s">
        <v>1037</v>
      </c>
      <c r="D27" s="3" t="s">
        <v>1022</v>
      </c>
      <c r="E27" s="3"/>
      <c r="F27" s="3" t="s">
        <v>1080</v>
      </c>
      <c r="G27" s="1" t="s">
        <v>33</v>
      </c>
      <c r="H27" s="3"/>
      <c r="I27" s="3"/>
    </row>
    <row r="28" spans="1:10" ht="22.5" customHeight="1" x14ac:dyDescent="0.15">
      <c r="A28" s="33"/>
      <c r="B28" s="3" t="s">
        <v>1081</v>
      </c>
      <c r="C28" s="1" t="s">
        <v>1037</v>
      </c>
      <c r="D28" t="s">
        <v>32</v>
      </c>
      <c r="E28" s="3"/>
      <c r="F28" s="3" t="s">
        <v>1082</v>
      </c>
      <c r="G28" s="1" t="s">
        <v>836</v>
      </c>
      <c r="H28" s="3"/>
      <c r="I28" s="3"/>
    </row>
    <row r="29" spans="1:10" ht="22.5" customHeight="1" x14ac:dyDescent="0.15">
      <c r="A29" s="23" t="s">
        <v>1083</v>
      </c>
      <c r="B29" s="24"/>
      <c r="C29" s="24"/>
      <c r="D29" s="22"/>
      <c r="E29" s="25"/>
      <c r="F29" s="25"/>
      <c r="G29" s="24"/>
      <c r="H29" s="24"/>
      <c r="I29" s="25"/>
      <c r="J29" s="22"/>
    </row>
    <row r="30" spans="1:10" ht="22.5" customHeight="1" x14ac:dyDescent="0.15">
      <c r="A30" s="34" t="s">
        <v>1084</v>
      </c>
      <c r="B30" s="3" t="s">
        <v>1085</v>
      </c>
      <c r="C30" s="1" t="s">
        <v>1086</v>
      </c>
      <c r="E30" s="3"/>
      <c r="H30" t="s">
        <v>1066</v>
      </c>
    </row>
    <row r="31" spans="1:10" ht="22.5" customHeight="1" x14ac:dyDescent="0.15">
      <c r="A31" s="32"/>
      <c r="B31" s="3" t="s">
        <v>1087</v>
      </c>
      <c r="C31" s="1" t="s">
        <v>1086</v>
      </c>
      <c r="D31" t="s">
        <v>1088</v>
      </c>
      <c r="E31" s="3"/>
      <c r="F31" s="3"/>
      <c r="G31" s="1"/>
    </row>
    <row r="32" spans="1:10" ht="22.5" customHeight="1" x14ac:dyDescent="0.15">
      <c r="A32" s="32"/>
      <c r="B32" s="3" t="s">
        <v>1089</v>
      </c>
      <c r="C32" s="1" t="s">
        <v>1086</v>
      </c>
      <c r="D32" s="3" t="s">
        <v>32</v>
      </c>
      <c r="E32" s="3"/>
      <c r="F32" s="3"/>
      <c r="G32" s="1" t="s">
        <v>210</v>
      </c>
    </row>
    <row r="33" spans="1:10" ht="15.75" customHeight="1" x14ac:dyDescent="0.15">
      <c r="A33" s="32"/>
      <c r="B33" t="s">
        <v>1090</v>
      </c>
      <c r="C33" t="s">
        <v>1037</v>
      </c>
      <c r="D33" t="s">
        <v>1091</v>
      </c>
      <c r="E33" s="3"/>
      <c r="F33" s="36">
        <v>46210</v>
      </c>
      <c r="H33" s="3"/>
      <c r="I33" s="3"/>
    </row>
    <row r="34" spans="1:10" ht="15.75" customHeight="1" x14ac:dyDescent="0.15">
      <c r="A34" s="32"/>
      <c r="B34" t="s">
        <v>1092</v>
      </c>
      <c r="D34" t="s">
        <v>1091</v>
      </c>
      <c r="E34" s="3"/>
      <c r="F34" s="36"/>
      <c r="H34" s="3"/>
      <c r="I34" s="3" t="s">
        <v>1093</v>
      </c>
    </row>
    <row r="35" spans="1:10" ht="15.75" customHeight="1" x14ac:dyDescent="0.15">
      <c r="A35" s="32"/>
      <c r="B35" s="3" t="s">
        <v>1094</v>
      </c>
      <c r="C35" s="1" t="s">
        <v>1037</v>
      </c>
      <c r="D35" s="2" t="s">
        <v>1015</v>
      </c>
      <c r="E35" s="3" t="s">
        <v>630</v>
      </c>
      <c r="F35" s="3"/>
      <c r="G35" s="1" t="s">
        <v>33</v>
      </c>
      <c r="H35" s="6"/>
      <c r="I35" s="3" t="s">
        <v>1095</v>
      </c>
    </row>
    <row r="36" spans="1:10" ht="15.75" customHeight="1" x14ac:dyDescent="0.15">
      <c r="A36" s="32"/>
      <c r="B36" t="s">
        <v>1096</v>
      </c>
      <c r="C36" s="1" t="s">
        <v>1037</v>
      </c>
      <c r="D36" s="2" t="s">
        <v>1015</v>
      </c>
      <c r="E36" s="3" t="s">
        <v>1097</v>
      </c>
      <c r="F36" s="3"/>
      <c r="G36" s="1" t="s">
        <v>33</v>
      </c>
      <c r="H36" s="15" t="s">
        <v>1098</v>
      </c>
      <c r="I36" s="3"/>
    </row>
    <row r="37" spans="1:10" ht="15.75" customHeight="1" x14ac:dyDescent="0.15">
      <c r="A37" s="32"/>
      <c r="B37" t="s">
        <v>1099</v>
      </c>
      <c r="C37" s="1" t="s">
        <v>1037</v>
      </c>
      <c r="D37" s="2" t="s">
        <v>1015</v>
      </c>
      <c r="E37" s="3" t="s">
        <v>1097</v>
      </c>
      <c r="G37" s="1" t="s">
        <v>33</v>
      </c>
      <c r="I37" s="3"/>
    </row>
    <row r="38" spans="1:10" ht="15.75" customHeight="1" x14ac:dyDescent="0.15">
      <c r="A38" s="32"/>
      <c r="E38" s="3"/>
      <c r="I38" s="3"/>
    </row>
    <row r="39" spans="1:10" ht="15.75" customHeight="1" x14ac:dyDescent="0.15">
      <c r="A39" s="32"/>
      <c r="B39" t="s">
        <v>1100</v>
      </c>
      <c r="E39" s="3"/>
      <c r="F39" s="36">
        <v>46210</v>
      </c>
      <c r="H39" t="s">
        <v>1101</v>
      </c>
    </row>
    <row r="40" spans="1:10" ht="15.75" customHeight="1" x14ac:dyDescent="0.15">
      <c r="A40" s="23" t="s">
        <v>831</v>
      </c>
      <c r="B40" s="24"/>
      <c r="C40" s="24"/>
      <c r="D40" s="22"/>
      <c r="E40" s="25"/>
      <c r="F40" s="25"/>
      <c r="G40" s="24"/>
      <c r="H40" s="24"/>
      <c r="I40" s="25"/>
      <c r="J40" s="22"/>
    </row>
    <row r="46" spans="1:10" ht="15.75" customHeight="1" x14ac:dyDescent="0.15">
      <c r="A46" s="11" t="s">
        <v>1102</v>
      </c>
    </row>
    <row r="47" spans="1:10" ht="15.75" customHeight="1" x14ac:dyDescent="0.15">
      <c r="A47" s="39" t="s">
        <v>1103</v>
      </c>
      <c r="B47" s="39" t="s">
        <v>1104</v>
      </c>
    </row>
    <row r="48" spans="1:10" ht="15.75" customHeight="1" x14ac:dyDescent="0.15">
      <c r="A48" s="39" t="s">
        <v>1105</v>
      </c>
      <c r="C48" s="39" t="s">
        <v>1106</v>
      </c>
    </row>
    <row r="49" spans="1:1" ht="15.75" customHeight="1" x14ac:dyDescent="0.15">
      <c r="A49" s="39" t="s">
        <v>1107</v>
      </c>
    </row>
    <row r="50" spans="1:1" ht="15.75" customHeight="1" x14ac:dyDescent="0.15">
      <c r="A50" s="39" t="s">
        <v>1108</v>
      </c>
    </row>
    <row r="51" spans="1:1" ht="15.75" customHeight="1" x14ac:dyDescent="0.15">
      <c r="A51" s="39" t="s">
        <v>1109</v>
      </c>
    </row>
    <row r="52" spans="1:1" ht="15.75" customHeight="1" x14ac:dyDescent="0.15">
      <c r="A52" s="39" t="s">
        <v>1110</v>
      </c>
    </row>
    <row r="53" spans="1:1" ht="15.75" customHeight="1" x14ac:dyDescent="0.15">
      <c r="A53" s="39" t="s">
        <v>1111</v>
      </c>
    </row>
    <row r="54" spans="1:1" ht="15.75" customHeight="1" x14ac:dyDescent="0.15">
      <c r="A54" s="39" t="s">
        <v>1112</v>
      </c>
    </row>
    <row r="55" spans="1:1" ht="15.75" customHeight="1" x14ac:dyDescent="0.15">
      <c r="A55" s="39" t="s">
        <v>1113</v>
      </c>
    </row>
    <row r="56" spans="1:1" ht="15.75" customHeight="1" x14ac:dyDescent="0.15">
      <c r="A56" s="39" t="s">
        <v>1114</v>
      </c>
    </row>
  </sheetData>
  <dataValidations count="4">
    <dataValidation type="list" allowBlank="1" sqref="C39:C40 C35:C37 C7:C19 C29:C32 C23:C28" xr:uid="{00000000-0002-0000-0000-000000000000}">
      <formula1>"Post-V0 Internal Release,NIM container implementation,build.nvidia release,UX/documentation,Distribution pathway"</formula1>
    </dataValidation>
    <dataValidation type="list" allowBlank="1" showErrorMessage="1" sqref="G31:G32 G39:G40 G35:G37 G29 G7:G28" xr:uid="{00000000-0002-0000-0000-000001000000}">
      <formula1>"Not Started,In Progress,Complete"</formula1>
    </dataValidation>
    <dataValidation allowBlank="1" showDropDown="1" sqref="F31:F32 F35:F36 F39:F40 H33:I36 H39:I40 I37:I38 B39:B40 B35:B36 B29:B32 B7:B28 F29 F7:F28 H29:I29 H7:I28" xr:uid="{00000000-0002-0000-0000-000002000000}"/>
    <dataValidation type="list" allowBlank="1" sqref="C20:C22" xr:uid="{A5BA4DE2-E3A8-42DF-8CFC-5CA511765607}">
      <formula1>"Post-V0 Internal Release,NIM container implementation,build.nvidia release,UX/documentation,Distribution pathway,Benchmarking"</formula1>
    </dataValidation>
  </dataValidations>
  <hyperlinks>
    <hyperlink ref="D7" r:id="rId1" xr:uid="{00000000-0004-0000-0000-000000000000}"/>
    <hyperlink ref="D8" r:id="rId2" xr:uid="{00000000-0004-0000-0000-000001000000}"/>
    <hyperlink ref="D9" r:id="rId3" xr:uid="{00000000-0004-0000-0000-000003000000}"/>
    <hyperlink ref="D10" r:id="rId4" xr:uid="{00000000-0004-0000-0000-000004000000}"/>
    <hyperlink ref="D13" r:id="rId5" xr:uid="{00000000-0004-0000-0000-000005000000}"/>
    <hyperlink ref="D17" r:id="rId6" xr:uid="{00000000-0004-0000-0000-000006000000}"/>
    <hyperlink ref="I17" r:id="rId7" xr:uid="{00000000-0004-0000-0000-000007000000}"/>
    <hyperlink ref="J17" r:id="rId8" xr:uid="{00000000-0004-0000-0000-000008000000}"/>
    <hyperlink ref="D24" r:id="rId9" xr:uid="{00000000-0004-0000-0000-000009000000}"/>
    <hyperlink ref="J7" r:id="rId10" xr:uid="{1E647A30-D83C-4023-9717-1E3BCA18A523}"/>
    <hyperlink ref="J9" r:id="rId11" xr:uid="{9BA13677-0C68-45F3-ADA2-157350D7B592}"/>
    <hyperlink ref="H25" r:id="rId12" location="onboarding" xr:uid="{099F224A-D7F8-44BB-9044-3760E1466218}"/>
    <hyperlink ref="D12" r:id="rId13" xr:uid="{A5CF54F0-7A8D-4F0D-9F61-9A047D55F803}"/>
    <hyperlink ref="J15" r:id="rId14" xr:uid="{DD3489B6-7A6E-4DBA-977C-5BB0926BC5D8}"/>
    <hyperlink ref="D15" r:id="rId15" xr:uid="{306DEFB9-84C3-41DF-9F40-B20B06F78F41}"/>
    <hyperlink ref="D16" r:id="rId16" xr:uid="{FBAF02DB-0360-4B88-AD1C-3CC1B165D2C5}"/>
    <hyperlink ref="D11" r:id="rId17" xr:uid="{9A693624-89A2-420F-A9E8-CFA9C5207E36}"/>
    <hyperlink ref="D35" r:id="rId18" xr:uid="{F630E6CB-FE4E-49E1-98FE-2522508C2AB5}"/>
    <hyperlink ref="D18" r:id="rId19" xr:uid="{7D0B4A5E-B87F-47EA-B373-1B10F2E1D178}"/>
    <hyperlink ref="D14" r:id="rId20" xr:uid="{9ADC486F-1419-48C4-B48C-21C0B067D990}"/>
    <hyperlink ref="H36" r:id="rId21" xr:uid="{69AC81FF-A69D-4D42-8777-AB7EE2AA19BC}"/>
    <hyperlink ref="D36" r:id="rId22" xr:uid="{92061172-9BD0-4E9A-A4ED-7CAC3C7FAC73}"/>
    <hyperlink ref="D37" r:id="rId23" xr:uid="{4B786E57-718A-41E4-964D-7857D31BA4F0}"/>
    <hyperlink ref="I21" r:id="rId24" location="gid=1288133001" xr:uid="{0596B6C5-FE6C-4B3C-BAFD-15B6F4944BA2}"/>
  </hyperlinks>
  <pageMargins left="0" right="0" top="0" bottom="0" header="0" footer="0"/>
  <legacyDrawing r:id="rId25"/>
  <tableParts count="1">
    <tablePart r:id="rId2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CF23-B9E5-47A3-9E8A-C6D956D8237D}">
  <dimension ref="A1:I5"/>
  <sheetViews>
    <sheetView workbookViewId="0">
      <selection activeCell="O29" sqref="O29"/>
    </sheetView>
  </sheetViews>
  <sheetFormatPr baseColWidth="10" defaultColWidth="8.83203125" defaultRowHeight="13" x14ac:dyDescent="0.15"/>
  <cols>
    <col min="1" max="1" width="15.5" bestFit="1" customWidth="1"/>
    <col min="2" max="2" width="32.6640625" bestFit="1" customWidth="1"/>
    <col min="4" max="4" width="15.83203125" customWidth="1"/>
    <col min="5" max="5" width="13.5" customWidth="1"/>
  </cols>
  <sheetData>
    <row r="1" spans="1:9" ht="42" x14ac:dyDescent="0.15">
      <c r="A1" s="27" t="s">
        <v>784</v>
      </c>
      <c r="B1" s="27" t="s">
        <v>550</v>
      </c>
      <c r="C1" s="28" t="s">
        <v>785</v>
      </c>
      <c r="D1" s="28" t="s">
        <v>1011</v>
      </c>
      <c r="E1" s="27" t="s">
        <v>787</v>
      </c>
      <c r="F1" s="27" t="s">
        <v>14</v>
      </c>
      <c r="G1" s="27" t="s">
        <v>788</v>
      </c>
      <c r="H1" s="27" t="s">
        <v>622</v>
      </c>
      <c r="I1" s="29" t="s">
        <v>789</v>
      </c>
    </row>
    <row r="2" spans="1:9" x14ac:dyDescent="0.15">
      <c r="B2" t="s">
        <v>1115</v>
      </c>
      <c r="E2" s="31">
        <v>46204</v>
      </c>
    </row>
    <row r="3" spans="1:9" x14ac:dyDescent="0.15">
      <c r="B3" t="s">
        <v>1116</v>
      </c>
    </row>
    <row r="4" spans="1:9" x14ac:dyDescent="0.15">
      <c r="A4" s="37"/>
      <c r="B4" s="37" t="s">
        <v>1117</v>
      </c>
      <c r="C4" s="37"/>
      <c r="D4" s="37"/>
    </row>
    <row r="5" spans="1:9" x14ac:dyDescent="0.15">
      <c r="B5" t="s">
        <v>1118</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0B6F-DD27-7146-938B-5C8F3D96B785}">
  <sheetPr>
    <tabColor rgb="FF76B900"/>
    <pageSetUpPr fitToPage="1"/>
  </sheetPr>
  <dimension ref="A1:BZ20"/>
  <sheetViews>
    <sheetView zoomScale="166" workbookViewId="0">
      <selection activeCell="A7" sqref="A7:XFD7"/>
    </sheetView>
  </sheetViews>
  <sheetFormatPr baseColWidth="10" defaultColWidth="11.5" defaultRowHeight="13" x14ac:dyDescent="0.15"/>
  <cols>
    <col min="1" max="1" width="15" style="55" customWidth="1"/>
    <col min="2" max="2" width="28" style="55" customWidth="1"/>
    <col min="3" max="3" width="19" style="46" customWidth="1"/>
    <col min="4" max="4" width="12" style="55" customWidth="1"/>
    <col min="5" max="5" width="11" style="55" customWidth="1"/>
    <col min="6" max="6" width="12" style="55" customWidth="1"/>
    <col min="7" max="7" width="11" style="55" customWidth="1"/>
    <col min="8" max="8" width="12" style="55" customWidth="1"/>
    <col min="9" max="9" width="11" style="55" customWidth="1"/>
    <col min="10" max="10" width="12" style="55" customWidth="1"/>
    <col min="11" max="11" width="11" style="55" customWidth="1"/>
    <col min="12" max="12" width="13" style="55" customWidth="1"/>
    <col min="13" max="13" width="58" style="55" customWidth="1"/>
    <col min="14" max="14" width="34" style="55" customWidth="1"/>
    <col min="15" max="15" width="38" style="55" customWidth="1"/>
    <col min="16" max="16" width="40.83203125" style="55" customWidth="1"/>
    <col min="17" max="17" width="26" style="55" customWidth="1"/>
    <col min="18" max="16383" width="10.83203125" style="55"/>
    <col min="16384" max="16384" width="8.83203125" style="55" bestFit="1" customWidth="1"/>
  </cols>
  <sheetData>
    <row r="1" spans="1:78" ht="14" x14ac:dyDescent="0.15">
      <c r="A1" s="280" t="s">
        <v>1119</v>
      </c>
      <c r="B1" s="280"/>
      <c r="C1" s="280"/>
      <c r="D1" s="280"/>
      <c r="E1" s="280"/>
      <c r="F1" s="280"/>
      <c r="G1" s="280"/>
      <c r="H1" s="280"/>
      <c r="I1" s="280"/>
      <c r="J1" s="280"/>
      <c r="K1" s="280"/>
      <c r="L1" s="280"/>
      <c r="M1" s="280"/>
      <c r="N1" s="280"/>
      <c r="O1" s="280"/>
      <c r="P1" s="280"/>
      <c r="Q1" s="280"/>
    </row>
    <row r="2" spans="1:78" ht="14" x14ac:dyDescent="0.15">
      <c r="A2" s="281" t="s">
        <v>1120</v>
      </c>
      <c r="B2" s="281"/>
      <c r="C2" s="281"/>
      <c r="D2" s="282" t="s">
        <v>1121</v>
      </c>
      <c r="E2" s="282"/>
      <c r="F2" s="283" t="s">
        <v>2</v>
      </c>
      <c r="G2" s="283"/>
      <c r="H2" s="284" t="s">
        <v>1122</v>
      </c>
      <c r="I2" s="284"/>
      <c r="J2" s="285" t="s">
        <v>1123</v>
      </c>
      <c r="K2" s="285"/>
      <c r="L2" s="286" t="s">
        <v>4</v>
      </c>
      <c r="M2" s="286"/>
      <c r="N2" s="287" t="s">
        <v>5</v>
      </c>
      <c r="O2" s="287"/>
      <c r="P2" s="287"/>
      <c r="Q2" s="287"/>
    </row>
    <row r="3" spans="1:78" ht="15" x14ac:dyDescent="0.15">
      <c r="A3" s="75" t="s">
        <v>1124</v>
      </c>
      <c r="B3" s="75" t="s">
        <v>1125</v>
      </c>
      <c r="C3" s="75" t="s">
        <v>11</v>
      </c>
      <c r="D3" s="75" t="s">
        <v>12</v>
      </c>
      <c r="E3" s="76" t="s">
        <v>13</v>
      </c>
      <c r="F3" s="75" t="s">
        <v>12</v>
      </c>
      <c r="G3" s="76" t="s">
        <v>13</v>
      </c>
      <c r="H3" s="75" t="s">
        <v>12</v>
      </c>
      <c r="I3" s="76" t="s">
        <v>13</v>
      </c>
      <c r="J3" s="75" t="s">
        <v>12</v>
      </c>
      <c r="K3" s="76" t="s">
        <v>13</v>
      </c>
      <c r="L3" s="75" t="s">
        <v>14</v>
      </c>
      <c r="M3" s="75" t="s">
        <v>15</v>
      </c>
      <c r="N3" s="75" t="s">
        <v>16</v>
      </c>
      <c r="O3" s="75" t="s">
        <v>17</v>
      </c>
      <c r="P3" s="75" t="s">
        <v>18</v>
      </c>
      <c r="Q3" s="75" t="s">
        <v>19</v>
      </c>
    </row>
    <row r="4" spans="1:78" s="86" customFormat="1" ht="120" x14ac:dyDescent="0.15">
      <c r="A4" s="77" t="s">
        <v>1126</v>
      </c>
      <c r="B4" s="78" t="s">
        <v>1127</v>
      </c>
      <c r="C4" s="79" t="s">
        <v>1128</v>
      </c>
      <c r="D4" s="80">
        <v>46235</v>
      </c>
      <c r="E4" s="81">
        <v>46241</v>
      </c>
      <c r="F4" s="80" t="s">
        <v>44</v>
      </c>
      <c r="G4" s="81" t="s">
        <v>44</v>
      </c>
      <c r="H4" s="80">
        <v>46235</v>
      </c>
      <c r="I4" s="81"/>
      <c r="J4" s="80">
        <v>46280</v>
      </c>
      <c r="K4" s="81"/>
      <c r="L4" s="82" t="s">
        <v>719</v>
      </c>
      <c r="M4" s="83" t="s">
        <v>1129</v>
      </c>
      <c r="N4" s="84" t="s">
        <v>77</v>
      </c>
      <c r="O4" s="84" t="s">
        <v>78</v>
      </c>
      <c r="P4" s="85" t="s">
        <v>79</v>
      </c>
      <c r="Q4" s="83"/>
    </row>
    <row r="5" spans="1:78" s="86" customFormat="1" ht="45" x14ac:dyDescent="0.15">
      <c r="A5" s="77" t="s">
        <v>1130</v>
      </c>
      <c r="B5" s="78" t="s">
        <v>1131</v>
      </c>
      <c r="C5" s="79" t="s">
        <v>1132</v>
      </c>
      <c r="D5" s="80">
        <v>46220</v>
      </c>
      <c r="E5" s="81">
        <v>46220</v>
      </c>
      <c r="F5" s="80">
        <v>46218</v>
      </c>
      <c r="G5" s="81">
        <v>46215</v>
      </c>
      <c r="H5" s="80"/>
      <c r="I5" s="81"/>
      <c r="J5" s="80">
        <v>46258</v>
      </c>
      <c r="K5" s="81"/>
      <c r="L5" s="82" t="s">
        <v>937</v>
      </c>
      <c r="M5" s="83" t="s">
        <v>1133</v>
      </c>
      <c r="N5" s="84" t="s">
        <v>35</v>
      </c>
      <c r="O5" s="84" t="s">
        <v>36</v>
      </c>
      <c r="P5" s="85" t="s">
        <v>37</v>
      </c>
      <c r="Q5" s="83"/>
    </row>
    <row r="6" spans="1:78" ht="65.25" customHeight="1" x14ac:dyDescent="0.15">
      <c r="A6" s="77" t="s">
        <v>1134</v>
      </c>
      <c r="B6" s="78" t="s">
        <v>1135</v>
      </c>
      <c r="C6" s="79" t="s">
        <v>42</v>
      </c>
      <c r="D6" s="80">
        <v>46245</v>
      </c>
      <c r="E6" s="81">
        <v>46245</v>
      </c>
      <c r="F6" s="80" t="s">
        <v>44</v>
      </c>
      <c r="G6" s="81" t="s">
        <v>44</v>
      </c>
      <c r="H6" s="80">
        <v>46252</v>
      </c>
      <c r="I6" s="81"/>
      <c r="J6" s="80">
        <v>46258</v>
      </c>
      <c r="K6" s="81"/>
      <c r="L6" s="82" t="s">
        <v>937</v>
      </c>
      <c r="M6" s="83" t="s">
        <v>1136</v>
      </c>
      <c r="N6" s="93" t="s">
        <v>46</v>
      </c>
      <c r="O6" s="94" t="s">
        <v>47</v>
      </c>
      <c r="P6" s="85" t="s">
        <v>1137</v>
      </c>
      <c r="Q6" s="83"/>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row>
    <row r="7" spans="1:78" s="86" customFormat="1" ht="60" x14ac:dyDescent="0.15">
      <c r="A7" s="77" t="s">
        <v>1126</v>
      </c>
      <c r="B7" s="78" t="s">
        <v>1138</v>
      </c>
      <c r="C7" s="79" t="s">
        <v>32</v>
      </c>
      <c r="D7" s="80"/>
      <c r="E7" s="81"/>
      <c r="F7" s="80"/>
      <c r="G7" s="81"/>
      <c r="H7" s="80"/>
      <c r="I7" s="81"/>
      <c r="J7" s="80">
        <v>46293</v>
      </c>
      <c r="K7" s="81"/>
      <c r="L7" s="82" t="s">
        <v>937</v>
      </c>
      <c r="M7" s="83" t="s">
        <v>119</v>
      </c>
      <c r="N7" s="84" t="s">
        <v>112</v>
      </c>
      <c r="O7" s="85" t="s">
        <v>1139</v>
      </c>
      <c r="P7" s="85"/>
      <c r="Q7" s="83"/>
    </row>
    <row r="8" spans="1:78" s="86" customFormat="1" ht="30" x14ac:dyDescent="0.15">
      <c r="A8" s="77" t="s">
        <v>1126</v>
      </c>
      <c r="B8" s="78" t="s">
        <v>1140</v>
      </c>
      <c r="C8" s="79" t="s">
        <v>205</v>
      </c>
      <c r="D8" s="80">
        <v>46357</v>
      </c>
      <c r="E8" s="81"/>
      <c r="F8" s="80"/>
      <c r="G8" s="81"/>
      <c r="H8" s="80"/>
      <c r="I8" s="81"/>
      <c r="J8" s="80">
        <v>46402</v>
      </c>
      <c r="K8" s="81"/>
      <c r="L8" s="82" t="s">
        <v>75</v>
      </c>
      <c r="M8" s="83"/>
      <c r="N8" s="85"/>
      <c r="O8" s="85"/>
      <c r="P8" s="85"/>
      <c r="Q8" s="83"/>
    </row>
    <row r="9" spans="1:78" s="86" customFormat="1" ht="30" x14ac:dyDescent="0.15">
      <c r="A9" s="77" t="s">
        <v>1130</v>
      </c>
      <c r="B9" s="78" t="s">
        <v>1141</v>
      </c>
      <c r="C9" s="79" t="s">
        <v>205</v>
      </c>
      <c r="D9" s="80"/>
      <c r="E9" s="81"/>
      <c r="F9" s="80"/>
      <c r="G9" s="81"/>
      <c r="H9" s="80"/>
      <c r="I9" s="81"/>
      <c r="J9" s="80">
        <v>46402</v>
      </c>
      <c r="K9" s="81"/>
      <c r="L9" s="82" t="s">
        <v>75</v>
      </c>
      <c r="M9" s="83"/>
      <c r="N9" s="85"/>
      <c r="O9" s="85"/>
      <c r="P9" s="85"/>
      <c r="Q9" s="83"/>
    </row>
    <row r="10" spans="1:78" s="86" customFormat="1" ht="90" x14ac:dyDescent="0.15">
      <c r="A10" s="87" t="s">
        <v>1142</v>
      </c>
      <c r="B10" s="78" t="s">
        <v>1143</v>
      </c>
      <c r="C10" s="79" t="s">
        <v>1144</v>
      </c>
      <c r="D10" s="80">
        <v>46266</v>
      </c>
      <c r="E10" s="81">
        <v>46273</v>
      </c>
      <c r="F10" s="80">
        <v>46280</v>
      </c>
      <c r="G10" s="81"/>
      <c r="H10" s="80">
        <v>46266</v>
      </c>
      <c r="I10" s="81"/>
      <c r="J10" s="80">
        <v>46310</v>
      </c>
      <c r="K10" s="81"/>
      <c r="L10" s="82" t="s">
        <v>75</v>
      </c>
      <c r="M10" s="83" t="s">
        <v>1145</v>
      </c>
      <c r="N10" s="85"/>
      <c r="O10" s="84" t="s">
        <v>147</v>
      </c>
      <c r="P10" s="85" t="s">
        <v>139</v>
      </c>
      <c r="Q10" s="83"/>
    </row>
    <row r="11" spans="1:78" s="86" customFormat="1" ht="30" x14ac:dyDescent="0.15">
      <c r="A11" s="87" t="s">
        <v>1146</v>
      </c>
      <c r="B11" s="78" t="s">
        <v>1147</v>
      </c>
      <c r="C11" s="79" t="s">
        <v>1144</v>
      </c>
      <c r="D11" s="80"/>
      <c r="E11" s="81"/>
      <c r="F11" s="80"/>
      <c r="G11" s="81"/>
      <c r="H11" s="80"/>
      <c r="I11" s="81"/>
      <c r="J11" s="80">
        <v>46310</v>
      </c>
      <c r="K11" s="81"/>
      <c r="L11" s="82" t="s">
        <v>75</v>
      </c>
      <c r="M11" s="83"/>
      <c r="N11" s="85"/>
      <c r="O11" s="84"/>
      <c r="P11" s="85"/>
      <c r="Q11" s="83"/>
    </row>
    <row r="12" spans="1:78" s="86" customFormat="1" ht="75" x14ac:dyDescent="0.15">
      <c r="A12" s="88" t="s">
        <v>429</v>
      </c>
      <c r="B12" s="78" t="s">
        <v>1148</v>
      </c>
      <c r="C12" s="79" t="s">
        <v>1149</v>
      </c>
      <c r="D12" s="80">
        <v>46295</v>
      </c>
      <c r="E12" s="81"/>
      <c r="F12" s="80">
        <v>46310</v>
      </c>
      <c r="G12" s="81"/>
      <c r="H12" s="80">
        <v>46239</v>
      </c>
      <c r="I12" s="81">
        <v>46239</v>
      </c>
      <c r="J12" s="89" t="s">
        <v>1150</v>
      </c>
      <c r="K12" s="81"/>
      <c r="L12" s="82" t="s">
        <v>719</v>
      </c>
      <c r="M12" s="83" t="s">
        <v>1151</v>
      </c>
      <c r="N12" s="84" t="s">
        <v>1152</v>
      </c>
      <c r="O12" s="84" t="s">
        <v>57</v>
      </c>
      <c r="P12" s="85"/>
      <c r="Q12" s="83" t="s">
        <v>58</v>
      </c>
    </row>
    <row r="13" spans="1:78" s="86" customFormat="1" ht="75" x14ac:dyDescent="0.15">
      <c r="A13" s="88" t="s">
        <v>429</v>
      </c>
      <c r="B13" s="78" t="s">
        <v>1153</v>
      </c>
      <c r="C13" s="79" t="s">
        <v>1154</v>
      </c>
      <c r="D13" s="80">
        <v>46295</v>
      </c>
      <c r="E13" s="81"/>
      <c r="F13" s="80">
        <v>46310</v>
      </c>
      <c r="G13" s="81"/>
      <c r="H13" s="80"/>
      <c r="I13" s="81"/>
      <c r="J13" s="89" t="s">
        <v>1150</v>
      </c>
      <c r="K13" s="81"/>
      <c r="L13" s="82" t="s">
        <v>75</v>
      </c>
      <c r="M13" s="83" t="s">
        <v>1155</v>
      </c>
      <c r="N13" s="93" t="s">
        <v>67</v>
      </c>
      <c r="O13" s="84" t="s">
        <v>68</v>
      </c>
      <c r="P13" s="85" t="s">
        <v>1156</v>
      </c>
      <c r="Q13" s="83" t="s">
        <v>1157</v>
      </c>
    </row>
    <row r="14" spans="1:78" s="86" customFormat="1" ht="30" x14ac:dyDescent="0.15">
      <c r="A14" s="88" t="s">
        <v>429</v>
      </c>
      <c r="B14" s="78" t="s">
        <v>1158</v>
      </c>
      <c r="C14" s="79" t="s">
        <v>1159</v>
      </c>
      <c r="D14" s="80">
        <v>46295</v>
      </c>
      <c r="E14" s="81"/>
      <c r="F14" s="80">
        <v>46310</v>
      </c>
      <c r="G14" s="81"/>
      <c r="H14" s="80"/>
      <c r="I14" s="81"/>
      <c r="J14" s="89" t="s">
        <v>1150</v>
      </c>
      <c r="K14" s="81"/>
      <c r="L14" s="82" t="s">
        <v>75</v>
      </c>
      <c r="M14" s="83" t="s">
        <v>1160</v>
      </c>
      <c r="N14" s="93" t="s">
        <v>86</v>
      </c>
      <c r="O14" s="85"/>
      <c r="P14" s="85"/>
      <c r="Q14" s="83"/>
    </row>
    <row r="15" spans="1:78" s="86" customFormat="1" ht="30" x14ac:dyDescent="0.15">
      <c r="A15" s="90" t="s">
        <v>270</v>
      </c>
      <c r="B15" s="78" t="s">
        <v>1161</v>
      </c>
      <c r="C15" s="79" t="s">
        <v>1162</v>
      </c>
      <c r="D15" s="80"/>
      <c r="E15" s="81"/>
      <c r="F15" s="80"/>
      <c r="G15" s="81"/>
      <c r="H15" s="80"/>
      <c r="I15" s="81"/>
      <c r="J15" s="80"/>
      <c r="K15" s="81"/>
      <c r="L15" s="82" t="s">
        <v>75</v>
      </c>
      <c r="M15" s="83"/>
      <c r="N15" s="84"/>
      <c r="O15" s="84"/>
      <c r="P15" s="85"/>
      <c r="Q15" s="83"/>
    </row>
    <row r="16" spans="1:78" s="86" customFormat="1" ht="30" x14ac:dyDescent="0.15">
      <c r="A16" s="90" t="s">
        <v>270</v>
      </c>
      <c r="B16" s="78" t="s">
        <v>965</v>
      </c>
      <c r="C16" s="79" t="s">
        <v>1162</v>
      </c>
      <c r="D16" s="80">
        <v>46254</v>
      </c>
      <c r="E16" s="81"/>
      <c r="F16" s="80"/>
      <c r="G16" s="81"/>
      <c r="H16" s="80"/>
      <c r="I16" s="81"/>
      <c r="J16" s="80">
        <v>46293</v>
      </c>
      <c r="K16" s="81"/>
      <c r="L16" s="82" t="s">
        <v>75</v>
      </c>
      <c r="M16" s="83" t="s">
        <v>1163</v>
      </c>
      <c r="N16" s="84" t="s">
        <v>77</v>
      </c>
      <c r="O16" s="84" t="s">
        <v>78</v>
      </c>
      <c r="P16" s="85" t="s">
        <v>79</v>
      </c>
      <c r="Q16" s="83"/>
    </row>
    <row r="17" spans="1:17" s="86" customFormat="1" ht="90" x14ac:dyDescent="0.15">
      <c r="A17" s="91" t="s">
        <v>971</v>
      </c>
      <c r="B17" s="78" t="s">
        <v>1164</v>
      </c>
      <c r="C17" s="79" t="s">
        <v>1165</v>
      </c>
      <c r="D17" s="80">
        <v>46265</v>
      </c>
      <c r="E17" s="81"/>
      <c r="F17" s="80"/>
      <c r="G17" s="81"/>
      <c r="H17" s="80" t="s">
        <v>1166</v>
      </c>
      <c r="I17" s="81"/>
      <c r="J17" s="80">
        <v>46293</v>
      </c>
      <c r="K17" s="81"/>
      <c r="L17" s="82" t="s">
        <v>719</v>
      </c>
      <c r="M17" s="83" t="s">
        <v>1167</v>
      </c>
      <c r="N17" s="85"/>
      <c r="O17" s="85"/>
      <c r="P17" s="85"/>
      <c r="Q17" s="83" t="s">
        <v>1168</v>
      </c>
    </row>
    <row r="18" spans="1:17" s="86" customFormat="1" ht="30" x14ac:dyDescent="0.15">
      <c r="A18" s="91" t="s">
        <v>971</v>
      </c>
      <c r="B18" s="78" t="s">
        <v>1169</v>
      </c>
      <c r="C18" s="79" t="s">
        <v>1170</v>
      </c>
      <c r="D18" s="80">
        <v>46295</v>
      </c>
      <c r="E18" s="81"/>
      <c r="F18" s="80">
        <v>46310</v>
      </c>
      <c r="G18" s="81"/>
      <c r="H18" s="80">
        <v>46280</v>
      </c>
      <c r="I18" s="81"/>
      <c r="J18" s="80"/>
      <c r="K18" s="81"/>
      <c r="L18" s="82" t="s">
        <v>75</v>
      </c>
      <c r="M18" s="83" t="s">
        <v>1171</v>
      </c>
      <c r="N18" s="85"/>
      <c r="O18" s="85" t="s">
        <v>1172</v>
      </c>
      <c r="P18" s="85"/>
      <c r="Q18" s="83"/>
    </row>
    <row r="19" spans="1:17" s="86" customFormat="1" ht="60" x14ac:dyDescent="0.15">
      <c r="A19" s="92" t="s">
        <v>982</v>
      </c>
      <c r="B19" s="78" t="s">
        <v>983</v>
      </c>
      <c r="C19" s="79" t="s">
        <v>1173</v>
      </c>
      <c r="D19" s="80"/>
      <c r="E19" s="81"/>
      <c r="F19" s="80"/>
      <c r="G19" s="81"/>
      <c r="H19" s="80" t="s">
        <v>1166</v>
      </c>
      <c r="I19" s="81"/>
      <c r="J19" s="80">
        <v>46293</v>
      </c>
      <c r="K19" s="81"/>
      <c r="L19" s="82" t="s">
        <v>75</v>
      </c>
      <c r="M19" s="83" t="s">
        <v>1174</v>
      </c>
      <c r="N19" s="85"/>
      <c r="O19" s="85"/>
      <c r="P19" s="85"/>
      <c r="Q19" s="83"/>
    </row>
    <row r="20" spans="1:17" s="86" customFormat="1" ht="45" x14ac:dyDescent="0.15">
      <c r="A20" s="92" t="s">
        <v>982</v>
      </c>
      <c r="B20" s="78" t="s">
        <v>1175</v>
      </c>
      <c r="C20" s="79" t="s">
        <v>65</v>
      </c>
      <c r="D20" s="80">
        <v>46295</v>
      </c>
      <c r="E20" s="81"/>
      <c r="F20" s="80">
        <v>46310</v>
      </c>
      <c r="G20" s="81"/>
      <c r="H20" s="80">
        <v>46255</v>
      </c>
      <c r="I20" s="81"/>
      <c r="J20" s="80"/>
      <c r="K20" s="81"/>
      <c r="L20" s="82" t="s">
        <v>75</v>
      </c>
      <c r="M20" s="83" t="s">
        <v>1176</v>
      </c>
      <c r="N20" s="85"/>
      <c r="O20" s="85" t="s">
        <v>1177</v>
      </c>
      <c r="P20" s="93" t="s">
        <v>1178</v>
      </c>
      <c r="Q20" s="83"/>
    </row>
  </sheetData>
  <autoFilter ref="A3:Q20" xr:uid="{00000000-0009-0000-0000-000000000000}"/>
  <mergeCells count="8">
    <mergeCell ref="A1:Q1"/>
    <mergeCell ref="A2:C2"/>
    <mergeCell ref="D2:E2"/>
    <mergeCell ref="F2:G2"/>
    <mergeCell ref="H2:I2"/>
    <mergeCell ref="J2:K2"/>
    <mergeCell ref="L2:M2"/>
    <mergeCell ref="N2:Q2"/>
  </mergeCells>
  <conditionalFormatting sqref="D4:D20 F4:F20 H4:H20 J4:J20">
    <cfRule type="expression" dxfId="12" priority="14">
      <formula>AND(D4&lt;&gt;"",E4&lt;&gt;"",E4&lt;=D4)</formula>
    </cfRule>
    <cfRule type="expression" dxfId="11" priority="15">
      <formula>AND(D4&lt;&gt;"",E4&lt;&gt;"",E4&gt;D4)</formula>
    </cfRule>
    <cfRule type="expression" dxfId="10" priority="16">
      <formula>AND(D4&lt;&gt;"",E4="",D4&lt;TODAY())</formula>
    </cfRule>
    <cfRule type="expression" dxfId="9" priority="17">
      <formula>AND(D4&lt;&gt;"",E4="",D4&gt;=TODAY(),D4&lt;=TODAY()+14)</formula>
    </cfRule>
    <cfRule type="expression" dxfId="8" priority="18">
      <formula>D4=""</formula>
    </cfRule>
  </conditionalFormatting>
  <conditionalFormatting sqref="L4:L20">
    <cfRule type="cellIs" dxfId="7" priority="6" operator="equal">
      <formula>"Complete"</formula>
    </cfRule>
    <cfRule type="cellIs" dxfId="6" priority="7" operator="equal">
      <formula>"On Track"</formula>
    </cfRule>
    <cfRule type="cellIs" dxfId="5" priority="8" operator="equal">
      <formula>"Can Catch Up"</formula>
    </cfRule>
    <cfRule type="cellIs" dxfId="4" priority="9" operator="equal">
      <formula>"At Risk"</formula>
    </cfRule>
    <cfRule type="cellIs" dxfId="3" priority="10" operator="equal">
      <formula>"Blocked"</formula>
    </cfRule>
    <cfRule type="cellIs" dxfId="2" priority="11" operator="equal">
      <formula>"Not Started"</formula>
    </cfRule>
    <cfRule type="cellIs" dxfId="1" priority="12" operator="equal">
      <formula>"Stretch"</formula>
    </cfRule>
    <cfRule type="cellIs" dxfId="0" priority="13" operator="equal">
      <formula>"N/A"</formula>
    </cfRule>
  </conditionalFormatting>
  <dataValidations count="1">
    <dataValidation type="list" errorStyle="warning" allowBlank="1" sqref="L4:L20" xr:uid="{7844821A-BD43-7F4D-9804-83E1AE86FE5E}">
      <formula1>"Complete,On Track,Can Catch Up,At Risk,Blocked,Not Started,Stretch,N/A"</formula1>
    </dataValidation>
  </dataValidations>
  <hyperlinks>
    <hyperlink ref="N5" r:id="rId1" xr:uid="{528E8D7E-03F4-8F47-9CC5-345E98227567}"/>
    <hyperlink ref="O5" r:id="rId2" xr:uid="{0E8795E2-51FD-E445-BB90-D0A44BB007B6}"/>
    <hyperlink ref="N7" r:id="rId3" xr:uid="{7CED2CED-390D-9644-AD23-7629FA6E91C7}"/>
    <hyperlink ref="O10" r:id="rId4" xr:uid="{A24BF4BC-5171-824D-BE4C-39E75F11EFEA}"/>
    <hyperlink ref="N12" r:id="rId5" display="https://nvbugspro.nvidia.com/bug/6441538" xr:uid="{2FDF727C-EE0A-C44C-ABA2-AB5219894F58}"/>
    <hyperlink ref="O12" r:id="rId6" xr:uid="{01422333-5637-8747-B612-0A0A7DA13587}"/>
    <hyperlink ref="O13" r:id="rId7" xr:uid="{21F54074-A02D-E146-8BD5-7C292EB7E662}"/>
    <hyperlink ref="N16" r:id="rId8" xr:uid="{71779D86-4DCF-D544-87D8-6F34F6301C97}"/>
    <hyperlink ref="O16" r:id="rId9" xr:uid="{328BF8A2-F8C9-6444-8C99-1CF5AB80BA0A}"/>
    <hyperlink ref="P20" r:id="rId10" xr:uid="{E785C650-2155-4271-80D8-7E812B240655}"/>
    <hyperlink ref="N4" r:id="rId11" xr:uid="{202EAFF2-9C77-494C-A8B7-F5C961431583}"/>
    <hyperlink ref="O4" r:id="rId12" xr:uid="{1451CB72-975C-3940-BA2A-A2D64A865B8E}"/>
    <hyperlink ref="N6" r:id="rId13" xr:uid="{F47E96BE-5C19-4198-B586-D8F26940FB99}"/>
    <hyperlink ref="O6" r:id="rId14" xr:uid="{876E85BE-8679-4A4C-BF98-F11FAC842EF3}"/>
    <hyperlink ref="N14" r:id="rId15" xr:uid="{37A35A60-1CA6-4E25-97D8-D8992A165D04}"/>
    <hyperlink ref="N13" r:id="rId16" xr:uid="{BE3C62B4-7BE6-4662-86AA-6B5B6B714F9D}"/>
  </hyperlinks>
  <pageMargins left="0.75" right="0.75" top="1" bottom="1" header="0.5" footer="0.5"/>
  <pageSetup scale="11"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26E6-3E25-F44B-B790-19431EBE5F27}">
  <dimension ref="A4:F27"/>
  <sheetViews>
    <sheetView workbookViewId="0">
      <selection activeCell="A4" sqref="A4:F27"/>
    </sheetView>
  </sheetViews>
  <sheetFormatPr baseColWidth="10" defaultColWidth="11.5" defaultRowHeight="13" x14ac:dyDescent="0.15"/>
  <sheetData>
    <row r="4" spans="1:6" x14ac:dyDescent="0.15">
      <c r="A4" s="39"/>
      <c r="B4" s="39"/>
      <c r="C4" s="39"/>
      <c r="D4" s="39"/>
      <c r="E4" s="39"/>
      <c r="F4" s="39"/>
    </row>
    <row r="5" spans="1:6" ht="19" x14ac:dyDescent="0.15">
      <c r="A5" s="288" t="s">
        <v>1179</v>
      </c>
      <c r="B5" s="288"/>
      <c r="C5" s="288"/>
      <c r="D5" s="288"/>
      <c r="E5" s="288"/>
      <c r="F5" s="288"/>
    </row>
    <row r="6" spans="1:6" ht="15" thickBot="1" x14ac:dyDescent="0.2">
      <c r="A6" s="188" t="s">
        <v>1125</v>
      </c>
      <c r="B6" s="189" t="s">
        <v>1180</v>
      </c>
      <c r="C6" s="189" t="s">
        <v>1181</v>
      </c>
      <c r="D6" s="189" t="s">
        <v>1182</v>
      </c>
      <c r="E6" s="189" t="s">
        <v>14</v>
      </c>
      <c r="F6" s="189" t="s">
        <v>294</v>
      </c>
    </row>
    <row r="7" spans="1:6" ht="61" thickBot="1" x14ac:dyDescent="0.2">
      <c r="A7" s="190" t="s">
        <v>1183</v>
      </c>
      <c r="B7" s="191" t="s">
        <v>1184</v>
      </c>
      <c r="C7" s="191" t="s">
        <v>1185</v>
      </c>
      <c r="D7" s="191" t="s">
        <v>1186</v>
      </c>
      <c r="E7" s="192" t="s">
        <v>1187</v>
      </c>
      <c r="F7" s="191"/>
    </row>
    <row r="8" spans="1:6" ht="56" x14ac:dyDescent="0.15">
      <c r="A8" s="193" t="s">
        <v>1131</v>
      </c>
      <c r="B8" s="194" t="s">
        <v>1188</v>
      </c>
      <c r="C8" s="194" t="s">
        <v>1185</v>
      </c>
      <c r="D8" s="194">
        <v>6457167</v>
      </c>
      <c r="E8" s="195" t="s">
        <v>1189</v>
      </c>
      <c r="F8" s="196" t="s">
        <v>35</v>
      </c>
    </row>
    <row r="9" spans="1:6" ht="56" x14ac:dyDescent="0.15">
      <c r="A9" s="197" t="s">
        <v>1131</v>
      </c>
      <c r="B9" s="198" t="s">
        <v>1190</v>
      </c>
      <c r="C9" s="198" t="s">
        <v>1185</v>
      </c>
      <c r="D9" s="198">
        <v>6470036</v>
      </c>
      <c r="E9" s="198" t="s">
        <v>1191</v>
      </c>
      <c r="F9" s="199" t="s">
        <v>46</v>
      </c>
    </row>
    <row r="10" spans="1:6" ht="84" x14ac:dyDescent="0.15">
      <c r="A10" s="197" t="s">
        <v>1131</v>
      </c>
      <c r="B10" s="198" t="s">
        <v>1192</v>
      </c>
      <c r="C10" s="198" t="s">
        <v>1185</v>
      </c>
      <c r="D10" s="198" t="s">
        <v>1193</v>
      </c>
      <c r="E10" s="198" t="s">
        <v>1191</v>
      </c>
      <c r="F10" s="199" t="s">
        <v>728</v>
      </c>
    </row>
    <row r="11" spans="1:6" ht="84" x14ac:dyDescent="0.15">
      <c r="A11" s="197" t="s">
        <v>1131</v>
      </c>
      <c r="B11" s="198" t="s">
        <v>1194</v>
      </c>
      <c r="C11" s="198" t="s">
        <v>1195</v>
      </c>
      <c r="D11" s="198" t="s">
        <v>1196</v>
      </c>
      <c r="E11" s="200" t="s">
        <v>1197</v>
      </c>
      <c r="F11" s="199" t="s">
        <v>36</v>
      </c>
    </row>
    <row r="12" spans="1:6" ht="84" x14ac:dyDescent="0.15">
      <c r="A12" s="197" t="s">
        <v>1131</v>
      </c>
      <c r="B12" s="198" t="s">
        <v>1198</v>
      </c>
      <c r="C12" s="198" t="s">
        <v>1195</v>
      </c>
      <c r="D12" s="198" t="s">
        <v>1199</v>
      </c>
      <c r="E12" s="200" t="s">
        <v>1197</v>
      </c>
      <c r="F12" s="199" t="s">
        <v>251</v>
      </c>
    </row>
    <row r="13" spans="1:6" ht="98" x14ac:dyDescent="0.15">
      <c r="A13" s="197" t="s">
        <v>1131</v>
      </c>
      <c r="B13" s="198" t="s">
        <v>1200</v>
      </c>
      <c r="C13" s="198" t="s">
        <v>1195</v>
      </c>
      <c r="D13" s="198" t="s">
        <v>1201</v>
      </c>
      <c r="E13" s="198" t="s">
        <v>1202</v>
      </c>
      <c r="F13" s="199" t="s">
        <v>732</v>
      </c>
    </row>
    <row r="14" spans="1:6" ht="169" thickBot="1" x14ac:dyDescent="0.2">
      <c r="A14" s="197" t="s">
        <v>1131</v>
      </c>
      <c r="B14" s="198" t="s">
        <v>1203</v>
      </c>
      <c r="C14" s="198" t="s">
        <v>1204</v>
      </c>
      <c r="D14" s="198" t="s">
        <v>1205</v>
      </c>
      <c r="E14" s="198" t="s">
        <v>1206</v>
      </c>
      <c r="F14" s="199" t="s">
        <v>715</v>
      </c>
    </row>
    <row r="15" spans="1:6" ht="56" x14ac:dyDescent="0.15">
      <c r="A15" s="193" t="s">
        <v>1207</v>
      </c>
      <c r="B15" s="194" t="s">
        <v>1208</v>
      </c>
      <c r="C15" s="194" t="s">
        <v>1185</v>
      </c>
      <c r="D15" s="194">
        <v>6575672</v>
      </c>
      <c r="E15" s="194" t="s">
        <v>1209</v>
      </c>
      <c r="F15" s="196" t="s">
        <v>112</v>
      </c>
    </row>
    <row r="16" spans="1:6" ht="61" thickBot="1" x14ac:dyDescent="0.2">
      <c r="A16" s="197" t="s">
        <v>1207</v>
      </c>
      <c r="B16" s="198" t="s">
        <v>1195</v>
      </c>
      <c r="C16" s="198" t="s">
        <v>1195</v>
      </c>
      <c r="D16" s="198" t="s">
        <v>1210</v>
      </c>
      <c r="E16" s="201" t="s">
        <v>1211</v>
      </c>
      <c r="F16" s="198"/>
    </row>
    <row r="17" spans="1:6" ht="85" thickBot="1" x14ac:dyDescent="0.2">
      <c r="A17" s="193" t="s">
        <v>1143</v>
      </c>
      <c r="B17" s="194" t="s">
        <v>1212</v>
      </c>
      <c r="C17" s="194" t="s">
        <v>1195</v>
      </c>
      <c r="D17" s="194" t="s">
        <v>1213</v>
      </c>
      <c r="E17" s="202" t="s">
        <v>1197</v>
      </c>
      <c r="F17" s="196" t="s">
        <v>147</v>
      </c>
    </row>
    <row r="18" spans="1:6" ht="56" x14ac:dyDescent="0.15">
      <c r="A18" s="203" t="s">
        <v>1214</v>
      </c>
      <c r="B18" s="204" t="s">
        <v>245</v>
      </c>
      <c r="C18" s="204" t="s">
        <v>1185</v>
      </c>
      <c r="D18" s="204">
        <v>6441538</v>
      </c>
      <c r="E18" s="205" t="s">
        <v>1215</v>
      </c>
      <c r="F18" s="206" t="s">
        <v>905</v>
      </c>
    </row>
    <row r="19" spans="1:6" ht="85" thickBot="1" x14ac:dyDescent="0.2">
      <c r="A19" s="207" t="s">
        <v>1214</v>
      </c>
      <c r="B19" s="208" t="s">
        <v>1195</v>
      </c>
      <c r="C19" s="208" t="s">
        <v>1195</v>
      </c>
      <c r="D19" s="208" t="s">
        <v>1216</v>
      </c>
      <c r="E19" s="209" t="s">
        <v>1197</v>
      </c>
      <c r="F19" s="210" t="s">
        <v>57</v>
      </c>
    </row>
    <row r="20" spans="1:6" ht="99" thickBot="1" x14ac:dyDescent="0.2">
      <c r="A20" s="193" t="s">
        <v>1217</v>
      </c>
      <c r="B20" s="194" t="s">
        <v>1218</v>
      </c>
      <c r="C20" s="194" t="s">
        <v>1195</v>
      </c>
      <c r="D20" s="194" t="s">
        <v>1219</v>
      </c>
      <c r="E20" s="202" t="s">
        <v>1197</v>
      </c>
      <c r="F20" s="196" t="s">
        <v>68</v>
      </c>
    </row>
    <row r="21" spans="1:6" ht="61" thickBot="1" x14ac:dyDescent="0.2">
      <c r="A21" s="193" t="s">
        <v>1175</v>
      </c>
      <c r="B21" s="194" t="s">
        <v>1220</v>
      </c>
      <c r="C21" s="194" t="s">
        <v>1195</v>
      </c>
      <c r="D21" s="194" t="s">
        <v>1186</v>
      </c>
      <c r="E21" s="195" t="s">
        <v>1187</v>
      </c>
      <c r="F21" s="194"/>
    </row>
    <row r="22" spans="1:6" ht="31" thickBot="1" x14ac:dyDescent="0.2">
      <c r="A22" s="193" t="s">
        <v>1169</v>
      </c>
      <c r="B22" s="194" t="s">
        <v>1221</v>
      </c>
      <c r="C22" s="194" t="s">
        <v>1195</v>
      </c>
      <c r="D22" s="194" t="s">
        <v>1186</v>
      </c>
      <c r="E22" s="195" t="s">
        <v>1187</v>
      </c>
      <c r="F22" s="194"/>
    </row>
    <row r="23" spans="1:6" ht="60" x14ac:dyDescent="0.15">
      <c r="A23" s="193" t="s">
        <v>965</v>
      </c>
      <c r="B23" s="194" t="s">
        <v>1222</v>
      </c>
      <c r="C23" s="194" t="s">
        <v>1185</v>
      </c>
      <c r="D23" s="194">
        <v>6630830</v>
      </c>
      <c r="E23" s="194" t="s">
        <v>1223</v>
      </c>
      <c r="F23" s="196" t="s">
        <v>77</v>
      </c>
    </row>
    <row r="24" spans="1:6" ht="71" thickBot="1" x14ac:dyDescent="0.2">
      <c r="A24" s="197" t="s">
        <v>965</v>
      </c>
      <c r="B24" s="198" t="s">
        <v>1224</v>
      </c>
      <c r="C24" s="198" t="s">
        <v>195</v>
      </c>
      <c r="D24" s="198" t="s">
        <v>1225</v>
      </c>
      <c r="E24" s="198" t="s">
        <v>1206</v>
      </c>
      <c r="F24" s="199" t="s">
        <v>966</v>
      </c>
    </row>
    <row r="25" spans="1:6" ht="154" x14ac:dyDescent="0.15">
      <c r="A25" s="193" t="s">
        <v>1226</v>
      </c>
      <c r="B25" s="194" t="s">
        <v>1227</v>
      </c>
      <c r="C25" s="194" t="s">
        <v>1204</v>
      </c>
      <c r="D25" s="194" t="s">
        <v>1228</v>
      </c>
      <c r="E25" s="194" t="s">
        <v>1206</v>
      </c>
      <c r="F25" s="196" t="s">
        <v>685</v>
      </c>
    </row>
    <row r="26" spans="1:6" x14ac:dyDescent="0.15">
      <c r="A26" s="39"/>
      <c r="B26" s="39"/>
      <c r="C26" s="39"/>
      <c r="D26" s="39"/>
      <c r="E26" s="39"/>
      <c r="F26" s="39"/>
    </row>
    <row r="27" spans="1:6" x14ac:dyDescent="0.15">
      <c r="A27" s="39"/>
      <c r="B27" s="39"/>
      <c r="C27" s="39"/>
      <c r="D27" s="39"/>
      <c r="E27" s="39"/>
      <c r="F27" s="39"/>
    </row>
  </sheetData>
  <mergeCells count="1">
    <mergeCell ref="A5:F5"/>
  </mergeCells>
  <hyperlinks>
    <hyperlink ref="F8" r:id="rId1" xr:uid="{22C035A1-20D0-2846-B9C5-547496CE23C7}"/>
    <hyperlink ref="F9" r:id="rId2" xr:uid="{6E13A4EF-9EA7-A64E-A3E3-6B9719302247}"/>
    <hyperlink ref="F10" r:id="rId3" xr:uid="{764EE843-A832-0B4B-89C5-F0EECAD222CE}"/>
    <hyperlink ref="F11" r:id="rId4" xr:uid="{B6B967DB-83DE-0041-AB2D-D526F5C5DC72}"/>
    <hyperlink ref="F12" r:id="rId5" xr:uid="{0C4B9B88-EE43-F744-AF93-036D9D6A4F41}"/>
    <hyperlink ref="F13" r:id="rId6" xr:uid="{0BA8639A-60A3-A740-BB71-25835C089232}"/>
    <hyperlink ref="F14" r:id="rId7" xr:uid="{EAF1B770-87B8-6346-AF69-69AE79A8840E}"/>
    <hyperlink ref="F15" r:id="rId8" xr:uid="{FEB63C60-566A-3D42-BF11-452E8FAAD66C}"/>
    <hyperlink ref="F17" r:id="rId9" xr:uid="{CE4276A6-971F-3443-A23D-69E3181A5845}"/>
    <hyperlink ref="F18" r:id="rId10" xr:uid="{BA7524BD-5CA5-C243-B18C-5A5A89FC7FEC}"/>
    <hyperlink ref="F19" r:id="rId11" xr:uid="{3CDA6711-EDCB-F84D-A068-8342BAA72A26}"/>
    <hyperlink ref="F20" r:id="rId12" xr:uid="{50A9B54B-E605-A94C-BBD0-F2A81BDCBCB7}"/>
    <hyperlink ref="F23" r:id="rId13" xr:uid="{6C31766E-E15A-0D4F-9434-67F9F11CCD62}"/>
    <hyperlink ref="F24" r:id="rId14" xr:uid="{D486032D-0299-8E40-95C7-401F41293A20}"/>
    <hyperlink ref="F25" r:id="rId15" xr:uid="{803654B4-C740-1F4F-A37A-CA083A2BA3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LAUNCH MATRIX (NEW)</vt:lpstr>
      <vt:lpstr>Launch until 2026 EOY</vt:lpstr>
      <vt:lpstr>Tickets for GTC</vt:lpstr>
      <vt:lpstr>Links to Core Assets</vt:lpstr>
      <vt:lpstr>High Level Roadmap</vt:lpstr>
      <vt:lpstr>Kumo 3 Pip Sprint</vt:lpstr>
      <vt:lpstr>RFM &amp; NIM Launch Tracker</vt:lpstr>
      <vt:lpstr>Relational Model Launches</vt:lpstr>
      <vt:lpstr>Tabular Model Launches</vt:lpstr>
      <vt:lpstr>Enablement assets Tracker</vt:lpstr>
      <vt:lpstr>PM Initiatives Tracker</vt:lpstr>
      <vt:lpstr>(OLD) KumoV3 launch</vt:lpstr>
      <vt:lpstr>(OLD) High Level Tracker</vt:lpstr>
      <vt:lpstr>OLD - NIM Containerization</vt:lpstr>
      <vt:lpstr>OLD - July 2nd Deliverables</vt:lpstr>
      <vt:lpstr>LAUNCH MATRIX (OLD)</vt:lpstr>
      <vt:lpstr>Tickets (old)</vt:lpstr>
      <vt:lpstr>'LAUNCH MATRIX (NEW)'!Print_Titles</vt:lpstr>
      <vt:lpstr>'LAUNCH MATRIX (OLD)'!Print_Titles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Josh Przybylko</cp:lastModifiedBy>
  <cp:revision/>
  <dcterms:created xsi:type="dcterms:W3CDTF">2026-06-11T22:50:32Z</dcterms:created>
  <dcterms:modified xsi:type="dcterms:W3CDTF">2026-10-21T03:12:36Z</dcterms:modified>
  <cp:category/>
  <cp:contentStatus/>
</cp:coreProperties>
</file>